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otsa\Documents\Software engineering\Computer Science\Labs\Lab5\"/>
    </mc:Choice>
  </mc:AlternateContent>
  <xr:revisionPtr revIDLastSave="0" documentId="13_ncr:1_{2FAC1BE2-42F8-48ED-B72D-D366638C97BC}" xr6:coauthVersionLast="47" xr6:coauthVersionMax="47" xr10:uidLastSave="{00000000-0000-0000-0000-000000000000}"/>
  <bookViews>
    <workbookView xWindow="-98" yWindow="-98" windowWidth="21795" windowHeight="12975" xr2:uid="{3B772794-8BCD-4AC5-9DF2-8AACC8672761}"/>
  </bookViews>
  <sheets>
    <sheet name="Sheet1" sheetId="1" r:id="rId1"/>
  </sheets>
  <definedNames>
    <definedName name="_xlnm.Print_Area" localSheetId="0">Sheet1!$A$1:$AI$70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0" i="1" l="1"/>
  <c r="C4" i="1"/>
  <c r="C5" i="1"/>
  <c r="C11" i="1" s="1"/>
  <c r="G11" i="1" s="1"/>
  <c r="J11" i="1" s="1"/>
  <c r="C6" i="1"/>
  <c r="C7" i="1"/>
  <c r="C13" i="1" s="1"/>
  <c r="G13" i="1" s="1"/>
  <c r="N13" i="1" s="1"/>
  <c r="C8" i="1"/>
  <c r="C14" i="1" s="1"/>
  <c r="G14" i="1" s="1"/>
  <c r="S14" i="1" s="1"/>
  <c r="S60" i="1" s="1"/>
  <c r="C10" i="1"/>
  <c r="AE39" i="1" s="1"/>
  <c r="Z17" i="1"/>
  <c r="L18" i="1"/>
  <c r="Q18" i="1"/>
  <c r="V18" i="1"/>
  <c r="AE18" i="1"/>
  <c r="L19" i="1"/>
  <c r="Q19" i="1"/>
  <c r="V19" i="1"/>
  <c r="Z24" i="1"/>
  <c r="L25" i="1"/>
  <c r="Q25" i="1"/>
  <c r="V25" i="1"/>
  <c r="L26" i="1"/>
  <c r="Q26" i="1"/>
  <c r="V26" i="1"/>
  <c r="Z31" i="1"/>
  <c r="L32" i="1"/>
  <c r="Q32" i="1"/>
  <c r="V32" i="1"/>
  <c r="AE32" i="1"/>
  <c r="L33" i="1"/>
  <c r="Q33" i="1"/>
  <c r="V33" i="1"/>
  <c r="Z38" i="1"/>
  <c r="L39" i="1"/>
  <c r="Q39" i="1"/>
  <c r="V39" i="1"/>
  <c r="L40" i="1"/>
  <c r="Q40" i="1"/>
  <c r="V40" i="1"/>
  <c r="Z45" i="1"/>
  <c r="L46" i="1"/>
  <c r="Q46" i="1"/>
  <c r="V46" i="1"/>
  <c r="L47" i="1"/>
  <c r="Q47" i="1"/>
  <c r="V47" i="1"/>
  <c r="Z52" i="1"/>
  <c r="L53" i="1"/>
  <c r="Q53" i="1"/>
  <c r="V53" i="1"/>
  <c r="AE53" i="1"/>
  <c r="L54" i="1"/>
  <c r="Q54" i="1"/>
  <c r="V54" i="1"/>
  <c r="Z59" i="1"/>
  <c r="L60" i="1"/>
  <c r="Q60" i="1"/>
  <c r="V60" i="1"/>
  <c r="L61" i="1"/>
  <c r="Q61" i="1"/>
  <c r="V61" i="1"/>
  <c r="G4" i="1" l="1"/>
  <c r="G10" i="1"/>
  <c r="O10" i="1" s="1"/>
  <c r="O33" i="1" s="1"/>
  <c r="S4" i="1"/>
  <c r="S53" i="1" s="1"/>
  <c r="G5" i="1"/>
  <c r="O5" i="1" s="1"/>
  <c r="R11" i="1"/>
  <c r="P11" i="1"/>
  <c r="P54" i="1" s="1"/>
  <c r="AE46" i="1"/>
  <c r="O11" i="1"/>
  <c r="O40" i="1" s="1"/>
  <c r="T4" i="1"/>
  <c r="T53" i="1" s="1"/>
  <c r="AE33" i="1"/>
  <c r="I10" i="1"/>
  <c r="I33" i="1" s="1"/>
  <c r="H10" i="1"/>
  <c r="H39" i="1" s="1"/>
  <c r="AE34" i="1"/>
  <c r="X36" i="1" s="1"/>
  <c r="T5" i="1"/>
  <c r="T19" i="1" s="1"/>
  <c r="N11" i="1"/>
  <c r="N54" i="1" s="1"/>
  <c r="M11" i="1"/>
  <c r="M40" i="1" s="1"/>
  <c r="AE40" i="1"/>
  <c r="AE41" i="1" s="1"/>
  <c r="X43" i="1" s="1"/>
  <c r="G8" i="1"/>
  <c r="H8" i="1" s="1"/>
  <c r="R13" i="1"/>
  <c r="AE19" i="1"/>
  <c r="AE20" i="1" s="1"/>
  <c r="X22" i="1" s="1"/>
  <c r="U11" i="1"/>
  <c r="U54" i="1" s="1"/>
  <c r="Y13" i="1"/>
  <c r="X13" i="1"/>
  <c r="W13" i="1"/>
  <c r="U13" i="1"/>
  <c r="AE54" i="1"/>
  <c r="AE55" i="1" s="1"/>
  <c r="X57" i="1" s="1"/>
  <c r="S13" i="1"/>
  <c r="P13" i="1"/>
  <c r="O13" i="1"/>
  <c r="T11" i="1"/>
  <c r="T46" i="1" s="1"/>
  <c r="R4" i="1"/>
  <c r="R18" i="1" s="1"/>
  <c r="T13" i="1"/>
  <c r="S11" i="1"/>
  <c r="S46" i="1" s="1"/>
  <c r="G7" i="1"/>
  <c r="C12" i="1"/>
  <c r="G6" i="1"/>
  <c r="AE61" i="1"/>
  <c r="R8" i="1"/>
  <c r="J46" i="1"/>
  <c r="J54" i="1"/>
  <c r="J40" i="1"/>
  <c r="O39" i="1"/>
  <c r="AE26" i="1"/>
  <c r="AE60" i="1"/>
  <c r="S10" i="1"/>
  <c r="O54" i="1"/>
  <c r="W14" i="1"/>
  <c r="W60" i="1" s="1"/>
  <c r="O46" i="1"/>
  <c r="T14" i="1"/>
  <c r="T60" i="1" s="1"/>
  <c r="N10" i="1"/>
  <c r="S18" i="1"/>
  <c r="I14" i="1"/>
  <c r="I60" i="1" s="1"/>
  <c r="O14" i="1"/>
  <c r="O60" i="1" s="1"/>
  <c r="H14" i="1"/>
  <c r="H60" i="1" s="1"/>
  <c r="J14" i="1"/>
  <c r="J60" i="1" s="1"/>
  <c r="K14" i="1"/>
  <c r="K60" i="1" s="1"/>
  <c r="M14" i="1"/>
  <c r="M60" i="1" s="1"/>
  <c r="N14" i="1"/>
  <c r="N60" i="1" s="1"/>
  <c r="R40" i="1"/>
  <c r="R46" i="1"/>
  <c r="R54" i="1"/>
  <c r="P40" i="1"/>
  <c r="P46" i="1"/>
  <c r="H5" i="1"/>
  <c r="R5" i="1"/>
  <c r="I5" i="1"/>
  <c r="J5" i="1"/>
  <c r="K5" i="1"/>
  <c r="M5" i="1"/>
  <c r="N5" i="1"/>
  <c r="M13" i="1"/>
  <c r="H13" i="1"/>
  <c r="I13" i="1"/>
  <c r="J13" i="1"/>
  <c r="K13" i="1"/>
  <c r="U14" i="1"/>
  <c r="U60" i="1" s="1"/>
  <c r="T10" i="1"/>
  <c r="U10" i="1"/>
  <c r="X10" i="1"/>
  <c r="W10" i="1"/>
  <c r="Y10" i="1"/>
  <c r="Z10" i="1"/>
  <c r="W11" i="1"/>
  <c r="X11" i="1"/>
  <c r="Z11" i="1"/>
  <c r="H11" i="1"/>
  <c r="Y11" i="1"/>
  <c r="Y14" i="1"/>
  <c r="Y60" i="1" s="1"/>
  <c r="X14" i="1"/>
  <c r="X60" i="1" s="1"/>
  <c r="AE25" i="1"/>
  <c r="P14" i="1"/>
  <c r="P60" i="1" s="1"/>
  <c r="K10" i="1"/>
  <c r="K11" i="1"/>
  <c r="Z14" i="1"/>
  <c r="Z60" i="1" s="1"/>
  <c r="I11" i="1"/>
  <c r="C9" i="1"/>
  <c r="P10" i="1"/>
  <c r="R14" i="1"/>
  <c r="R60" i="1" s="1"/>
  <c r="M10" i="1"/>
  <c r="Z13" i="1"/>
  <c r="J10" i="1"/>
  <c r="I4" i="1"/>
  <c r="H4" i="1"/>
  <c r="J4" i="1"/>
  <c r="K4" i="1"/>
  <c r="O4" i="1"/>
  <c r="M4" i="1"/>
  <c r="N4" i="1"/>
  <c r="R10" i="1" l="1"/>
  <c r="R33" i="1" s="1"/>
  <c r="P5" i="1"/>
  <c r="U4" i="1"/>
  <c r="W4" i="1"/>
  <c r="X4" i="1"/>
  <c r="Y4" i="1"/>
  <c r="Z4" i="1"/>
  <c r="P4" i="1"/>
  <c r="S8" i="1"/>
  <c r="S40" i="1"/>
  <c r="O8" i="1"/>
  <c r="N40" i="1"/>
  <c r="I39" i="1"/>
  <c r="P8" i="1"/>
  <c r="H33" i="1"/>
  <c r="M46" i="1"/>
  <c r="N46" i="1"/>
  <c r="T8" i="1"/>
  <c r="J8" i="1"/>
  <c r="T18" i="1"/>
  <c r="X8" i="1"/>
  <c r="M54" i="1"/>
  <c r="N8" i="1"/>
  <c r="K8" i="1"/>
  <c r="W8" i="1"/>
  <c r="T32" i="1"/>
  <c r="T25" i="1"/>
  <c r="I8" i="1"/>
  <c r="Y8" i="1"/>
  <c r="U8" i="1"/>
  <c r="S5" i="1"/>
  <c r="W5" i="1"/>
  <c r="Z5" i="1"/>
  <c r="U5" i="1"/>
  <c r="Y5" i="1"/>
  <c r="X5" i="1"/>
  <c r="U40" i="1"/>
  <c r="U46" i="1"/>
  <c r="T40" i="1"/>
  <c r="R53" i="1"/>
  <c r="M8" i="1"/>
  <c r="AE62" i="1"/>
  <c r="X64" i="1" s="1"/>
  <c r="Z8" i="1"/>
  <c r="K7" i="1"/>
  <c r="X7" i="1"/>
  <c r="H7" i="1"/>
  <c r="I7" i="1"/>
  <c r="J7" i="1"/>
  <c r="Y7" i="1"/>
  <c r="Z7" i="1"/>
  <c r="U7" i="1"/>
  <c r="S7" i="1"/>
  <c r="R7" i="1"/>
  <c r="O7" i="1"/>
  <c r="P7" i="1"/>
  <c r="N7" i="1"/>
  <c r="M7" i="1"/>
  <c r="T54" i="1"/>
  <c r="S54" i="1"/>
  <c r="T7" i="1"/>
  <c r="W7" i="1"/>
  <c r="K46" i="1"/>
  <c r="K54" i="1"/>
  <c r="K40" i="1"/>
  <c r="K39" i="1"/>
  <c r="K33" i="1"/>
  <c r="N33" i="1"/>
  <c r="N39" i="1"/>
  <c r="M33" i="1"/>
  <c r="M39" i="1"/>
  <c r="M32" i="1"/>
  <c r="M19" i="1"/>
  <c r="M25" i="1"/>
  <c r="K19" i="1"/>
  <c r="K32" i="1"/>
  <c r="K25" i="1"/>
  <c r="T33" i="1"/>
  <c r="T39" i="1"/>
  <c r="AE27" i="1"/>
  <c r="X29" i="1" s="1"/>
  <c r="Y54" i="1"/>
  <c r="Y40" i="1"/>
  <c r="Y46" i="1"/>
  <c r="Z39" i="1"/>
  <c r="Z33" i="1"/>
  <c r="O25" i="1"/>
  <c r="O32" i="1"/>
  <c r="O19" i="1"/>
  <c r="W33" i="1"/>
  <c r="W39" i="1"/>
  <c r="X33" i="1"/>
  <c r="X39" i="1"/>
  <c r="U39" i="1"/>
  <c r="U33" i="1"/>
  <c r="I54" i="1"/>
  <c r="I40" i="1"/>
  <c r="I46" i="1"/>
  <c r="Z40" i="1"/>
  <c r="Z46" i="1"/>
  <c r="Z54" i="1"/>
  <c r="N18" i="1"/>
  <c r="N53" i="1"/>
  <c r="X40" i="1"/>
  <c r="X54" i="1"/>
  <c r="X46" i="1"/>
  <c r="R39" i="1"/>
  <c r="M18" i="1"/>
  <c r="M53" i="1"/>
  <c r="W40" i="1"/>
  <c r="W46" i="1"/>
  <c r="W54" i="1"/>
  <c r="S39" i="1"/>
  <c r="S33" i="1"/>
  <c r="J6" i="1"/>
  <c r="N6" i="1"/>
  <c r="K6" i="1"/>
  <c r="M6" i="1"/>
  <c r="T6" i="1"/>
  <c r="O6" i="1"/>
  <c r="P6" i="1"/>
  <c r="R6" i="1"/>
  <c r="S6" i="1"/>
  <c r="X6" i="1"/>
  <c r="Z6" i="1"/>
  <c r="H6" i="1"/>
  <c r="I6" i="1"/>
  <c r="U6" i="1"/>
  <c r="W6" i="1"/>
  <c r="Y6" i="1"/>
  <c r="I53" i="1"/>
  <c r="I18" i="1"/>
  <c r="Y39" i="1"/>
  <c r="Y33" i="1"/>
  <c r="P33" i="1"/>
  <c r="P39" i="1"/>
  <c r="J19" i="1"/>
  <c r="J25" i="1"/>
  <c r="J32" i="1"/>
  <c r="J18" i="1"/>
  <c r="J53" i="1"/>
  <c r="H18" i="1"/>
  <c r="H53" i="1"/>
  <c r="J39" i="1"/>
  <c r="J33" i="1"/>
  <c r="P19" i="1"/>
  <c r="P25" i="1"/>
  <c r="P32" i="1"/>
  <c r="N25" i="1"/>
  <c r="N32" i="1"/>
  <c r="N19" i="1"/>
  <c r="C15" i="1"/>
  <c r="G15" i="1" s="1"/>
  <c r="G9" i="1"/>
  <c r="I19" i="1"/>
  <c r="I25" i="1"/>
  <c r="I32" i="1"/>
  <c r="R19" i="1"/>
  <c r="R25" i="1"/>
  <c r="R32" i="1"/>
  <c r="H32" i="1"/>
  <c r="H25" i="1"/>
  <c r="H19" i="1"/>
  <c r="H40" i="1"/>
  <c r="H54" i="1"/>
  <c r="H46" i="1"/>
  <c r="O18" i="1"/>
  <c r="O53" i="1"/>
  <c r="G12" i="1"/>
  <c r="AE47" i="1"/>
  <c r="AE48" i="1" s="1"/>
  <c r="X50" i="1" s="1"/>
  <c r="K18" i="1"/>
  <c r="K53" i="1"/>
  <c r="P18" i="1" l="1"/>
  <c r="P53" i="1"/>
  <c r="Z53" i="1"/>
  <c r="Z18" i="1"/>
  <c r="Y53" i="1"/>
  <c r="Y18" i="1"/>
  <c r="X18" i="1"/>
  <c r="X53" i="1"/>
  <c r="W53" i="1"/>
  <c r="W18" i="1"/>
  <c r="U18" i="1"/>
  <c r="U53" i="1"/>
  <c r="Z32" i="1"/>
  <c r="Z34" i="1" s="1"/>
  <c r="Z25" i="1"/>
  <c r="Z19" i="1"/>
  <c r="Y32" i="1"/>
  <c r="Y19" i="1"/>
  <c r="Y25" i="1"/>
  <c r="W25" i="1"/>
  <c r="W32" i="1"/>
  <c r="W19" i="1"/>
  <c r="S25" i="1"/>
  <c r="S32" i="1"/>
  <c r="S19" i="1"/>
  <c r="X25" i="1"/>
  <c r="X19" i="1"/>
  <c r="X32" i="1"/>
  <c r="U19" i="1"/>
  <c r="U25" i="1"/>
  <c r="U32" i="1"/>
  <c r="N61" i="1"/>
  <c r="N26" i="1"/>
  <c r="W61" i="1"/>
  <c r="W26" i="1"/>
  <c r="M26" i="1"/>
  <c r="M61" i="1"/>
  <c r="K26" i="1"/>
  <c r="K61" i="1"/>
  <c r="J26" i="1"/>
  <c r="J61" i="1"/>
  <c r="I61" i="1"/>
  <c r="I26" i="1"/>
  <c r="Y38" i="1"/>
  <c r="Z41" i="1"/>
  <c r="R26" i="1"/>
  <c r="R61" i="1"/>
  <c r="Y26" i="1"/>
  <c r="Y61" i="1"/>
  <c r="U26" i="1"/>
  <c r="U61" i="1"/>
  <c r="P26" i="1"/>
  <c r="P61" i="1"/>
  <c r="H26" i="1"/>
  <c r="H61" i="1"/>
  <c r="Z61" i="1"/>
  <c r="Z26" i="1"/>
  <c r="Y31" i="1"/>
  <c r="O26" i="1"/>
  <c r="O61" i="1"/>
  <c r="R9" i="1"/>
  <c r="S9" i="1"/>
  <c r="U9" i="1"/>
  <c r="T9" i="1"/>
  <c r="W9" i="1"/>
  <c r="X9" i="1"/>
  <c r="Y9" i="1"/>
  <c r="Z9" i="1"/>
  <c r="H9" i="1"/>
  <c r="P9" i="1"/>
  <c r="I9" i="1"/>
  <c r="K9" i="1"/>
  <c r="N9" i="1"/>
  <c r="M9" i="1"/>
  <c r="O9" i="1"/>
  <c r="J9" i="1"/>
  <c r="H15" i="1"/>
  <c r="I15" i="1"/>
  <c r="K15" i="1"/>
  <c r="R15" i="1"/>
  <c r="J15" i="1"/>
  <c r="M15" i="1"/>
  <c r="N15" i="1"/>
  <c r="O15" i="1"/>
  <c r="P15" i="1"/>
  <c r="X15" i="1"/>
  <c r="Y15" i="1"/>
  <c r="S15" i="1"/>
  <c r="T15" i="1"/>
  <c r="U15" i="1"/>
  <c r="W15" i="1"/>
  <c r="Z15" i="1"/>
  <c r="Y12" i="1"/>
  <c r="Y47" i="1" s="1"/>
  <c r="Z12" i="1"/>
  <c r="Z47" i="1" s="1"/>
  <c r="Y45" i="1" s="1"/>
  <c r="J12" i="1"/>
  <c r="J47" i="1" s="1"/>
  <c r="H12" i="1"/>
  <c r="H47" i="1" s="1"/>
  <c r="I12" i="1"/>
  <c r="I47" i="1" s="1"/>
  <c r="M12" i="1"/>
  <c r="M47" i="1" s="1"/>
  <c r="O12" i="1"/>
  <c r="O47" i="1" s="1"/>
  <c r="S12" i="1"/>
  <c r="S47" i="1" s="1"/>
  <c r="U12" i="1"/>
  <c r="U47" i="1" s="1"/>
  <c r="W12" i="1"/>
  <c r="W47" i="1" s="1"/>
  <c r="N12" i="1"/>
  <c r="N47" i="1" s="1"/>
  <c r="X12" i="1"/>
  <c r="X47" i="1" s="1"/>
  <c r="P12" i="1"/>
  <c r="P47" i="1" s="1"/>
  <c r="R12" i="1"/>
  <c r="R47" i="1" s="1"/>
  <c r="T12" i="1"/>
  <c r="T47" i="1" s="1"/>
  <c r="K12" i="1"/>
  <c r="K47" i="1" s="1"/>
  <c r="X26" i="1"/>
  <c r="X61" i="1"/>
  <c r="S26" i="1"/>
  <c r="S61" i="1"/>
  <c r="T26" i="1"/>
  <c r="T61" i="1"/>
  <c r="Y52" i="1"/>
  <c r="Z55" i="1"/>
  <c r="Y17" i="1" l="1"/>
  <c r="Z20" i="1"/>
  <c r="Y48" i="1"/>
  <c r="X45" i="1"/>
  <c r="Y41" i="1"/>
  <c r="X38" i="1"/>
  <c r="Y55" i="1"/>
  <c r="X52" i="1"/>
  <c r="Z27" i="1"/>
  <c r="Y24" i="1"/>
  <c r="Z62" i="1"/>
  <c r="Y59" i="1"/>
  <c r="Z48" i="1"/>
  <c r="Y34" i="1"/>
  <c r="X31" i="1"/>
  <c r="Y20" i="1" l="1"/>
  <c r="X17" i="1"/>
  <c r="X34" i="1"/>
  <c r="W31" i="1"/>
  <c r="X55" i="1"/>
  <c r="W52" i="1"/>
  <c r="Y62" i="1"/>
  <c r="X59" i="1"/>
  <c r="X48" i="1"/>
  <c r="W45" i="1"/>
  <c r="Y27" i="1"/>
  <c r="X24" i="1"/>
  <c r="W38" i="1"/>
  <c r="X41" i="1"/>
  <c r="W17" i="1" l="1"/>
  <c r="X20" i="1"/>
  <c r="W55" i="1"/>
  <c r="U52" i="1"/>
  <c r="W41" i="1"/>
  <c r="U38" i="1"/>
  <c r="W34" i="1"/>
  <c r="U31" i="1"/>
  <c r="W24" i="1"/>
  <c r="X27" i="1"/>
  <c r="W48" i="1"/>
  <c r="U45" i="1"/>
  <c r="X62" i="1"/>
  <c r="W59" i="1"/>
  <c r="U17" i="1" l="1"/>
  <c r="W20" i="1"/>
  <c r="U59" i="1"/>
  <c r="W62" i="1"/>
  <c r="U48" i="1"/>
  <c r="T45" i="1"/>
  <c r="O50" i="1"/>
  <c r="W27" i="1"/>
  <c r="U24" i="1"/>
  <c r="U34" i="1"/>
  <c r="T31" i="1"/>
  <c r="O36" i="1"/>
  <c r="U41" i="1"/>
  <c r="T38" i="1"/>
  <c r="O43" i="1"/>
  <c r="U55" i="1"/>
  <c r="T52" i="1"/>
  <c r="O57" i="1"/>
  <c r="U20" i="1" l="1"/>
  <c r="O22" i="1"/>
  <c r="T17" i="1"/>
  <c r="T41" i="1"/>
  <c r="S38" i="1"/>
  <c r="T34" i="1"/>
  <c r="S31" i="1"/>
  <c r="S52" i="1"/>
  <c r="T55" i="1"/>
  <c r="U27" i="1"/>
  <c r="T24" i="1"/>
  <c r="O29" i="1"/>
  <c r="S45" i="1"/>
  <c r="T48" i="1"/>
  <c r="U62" i="1"/>
  <c r="T59" i="1"/>
  <c r="O64" i="1"/>
  <c r="S17" i="1" l="1"/>
  <c r="T20" i="1"/>
  <c r="S55" i="1"/>
  <c r="R52" i="1"/>
  <c r="S41" i="1"/>
  <c r="R38" i="1"/>
  <c r="S59" i="1"/>
  <c r="T62" i="1"/>
  <c r="S48" i="1"/>
  <c r="R45" i="1"/>
  <c r="T27" i="1"/>
  <c r="S24" i="1"/>
  <c r="S34" i="1"/>
  <c r="R31" i="1"/>
  <c r="S20" i="1" l="1"/>
  <c r="R17" i="1"/>
  <c r="S27" i="1"/>
  <c r="R24" i="1"/>
  <c r="R34" i="1"/>
  <c r="K36" i="1" s="1"/>
  <c r="P31" i="1"/>
  <c r="R48" i="1"/>
  <c r="K50" i="1" s="1"/>
  <c r="P45" i="1"/>
  <c r="R41" i="1"/>
  <c r="K43" i="1" s="1"/>
  <c r="P38" i="1"/>
  <c r="R55" i="1"/>
  <c r="K57" i="1" s="1"/>
  <c r="P52" i="1"/>
  <c r="S62" i="1"/>
  <c r="R59" i="1"/>
  <c r="R20" i="1" l="1"/>
  <c r="K22" i="1" s="1"/>
  <c r="P17" i="1"/>
  <c r="R62" i="1"/>
  <c r="K64" i="1" s="1"/>
  <c r="P59" i="1"/>
  <c r="O38" i="1"/>
  <c r="P41" i="1"/>
  <c r="O45" i="1"/>
  <c r="P48" i="1"/>
  <c r="O52" i="1"/>
  <c r="P55" i="1"/>
  <c r="O31" i="1"/>
  <c r="P34" i="1"/>
  <c r="R27" i="1"/>
  <c r="K29" i="1" s="1"/>
  <c r="P24" i="1"/>
  <c r="P20" i="1" l="1"/>
  <c r="O17" i="1"/>
  <c r="O24" i="1"/>
  <c r="P27" i="1"/>
  <c r="N52" i="1"/>
  <c r="O55" i="1"/>
  <c r="N38" i="1"/>
  <c r="O41" i="1"/>
  <c r="N31" i="1"/>
  <c r="O34" i="1"/>
  <c r="N45" i="1"/>
  <c r="O48" i="1"/>
  <c r="O59" i="1"/>
  <c r="P62" i="1"/>
  <c r="N17" i="1" l="1"/>
  <c r="O20" i="1"/>
  <c r="N59" i="1"/>
  <c r="O62" i="1"/>
  <c r="M31" i="1"/>
  <c r="N34" i="1"/>
  <c r="M38" i="1"/>
  <c r="N41" i="1"/>
  <c r="M45" i="1"/>
  <c r="N48" i="1"/>
  <c r="M52" i="1"/>
  <c r="N55" i="1"/>
  <c r="N24" i="1"/>
  <c r="O27" i="1"/>
  <c r="N20" i="1" l="1"/>
  <c r="M17" i="1"/>
  <c r="K45" i="1"/>
  <c r="M48" i="1"/>
  <c r="M34" i="1"/>
  <c r="K31" i="1"/>
  <c r="M24" i="1"/>
  <c r="N27" i="1"/>
  <c r="K52" i="1"/>
  <c r="M55" i="1"/>
  <c r="M41" i="1"/>
  <c r="K38" i="1"/>
  <c r="M59" i="1"/>
  <c r="N62" i="1"/>
  <c r="M20" i="1" l="1"/>
  <c r="K17" i="1"/>
  <c r="M62" i="1"/>
  <c r="K59" i="1"/>
  <c r="J52" i="1"/>
  <c r="K55" i="1"/>
  <c r="J38" i="1"/>
  <c r="K41" i="1"/>
  <c r="M27" i="1"/>
  <c r="K24" i="1"/>
  <c r="K34" i="1"/>
  <c r="J31" i="1"/>
  <c r="J45" i="1"/>
  <c r="K48" i="1"/>
  <c r="J17" i="1" l="1"/>
  <c r="K20" i="1"/>
  <c r="I45" i="1"/>
  <c r="J48" i="1"/>
  <c r="J24" i="1"/>
  <c r="K27" i="1"/>
  <c r="I31" i="1"/>
  <c r="J34" i="1"/>
  <c r="I38" i="1"/>
  <c r="J41" i="1"/>
  <c r="I52" i="1"/>
  <c r="J55" i="1"/>
  <c r="K62" i="1"/>
  <c r="J59" i="1"/>
  <c r="I17" i="1" l="1"/>
  <c r="J20" i="1"/>
  <c r="J62" i="1"/>
  <c r="I59" i="1"/>
  <c r="H38" i="1"/>
  <c r="I41" i="1"/>
  <c r="I55" i="1"/>
  <c r="H52" i="1"/>
  <c r="H31" i="1"/>
  <c r="I34" i="1"/>
  <c r="J27" i="1"/>
  <c r="I24" i="1"/>
  <c r="I48" i="1"/>
  <c r="H45" i="1"/>
  <c r="I20" i="1" l="1"/>
  <c r="H17" i="1"/>
  <c r="H57" i="1"/>
  <c r="H55" i="1"/>
  <c r="H48" i="1"/>
  <c r="H50" i="1"/>
  <c r="H24" i="1"/>
  <c r="I27" i="1"/>
  <c r="H34" i="1"/>
  <c r="H36" i="1"/>
  <c r="H43" i="1"/>
  <c r="H41" i="1"/>
  <c r="I62" i="1"/>
  <c r="H59" i="1"/>
  <c r="H22" i="1" l="1"/>
  <c r="H20" i="1"/>
  <c r="AB34" i="1"/>
  <c r="R36" i="1"/>
  <c r="T36" i="1"/>
  <c r="H62" i="1"/>
  <c r="H64" i="1"/>
  <c r="AB41" i="1"/>
  <c r="R43" i="1"/>
  <c r="T43" i="1"/>
  <c r="AB55" i="1"/>
  <c r="R57" i="1"/>
  <c r="T57" i="1"/>
  <c r="H27" i="1"/>
  <c r="H29" i="1"/>
  <c r="AB48" i="1"/>
  <c r="R50" i="1"/>
  <c r="T50" i="1"/>
  <c r="R22" i="1" l="1"/>
  <c r="T22" i="1"/>
  <c r="AB27" i="1"/>
  <c r="R29" i="1"/>
  <c r="T29" i="1"/>
  <c r="R64" i="1"/>
  <c r="T64" i="1"/>
  <c r="AB62" i="1"/>
</calcChain>
</file>

<file path=xl/sharedStrings.xml><?xml version="1.0" encoding="utf-8"?>
<sst xmlns="http://schemas.openxmlformats.org/spreadsheetml/2006/main" count="222" uniqueCount="73">
  <si>
    <t>A =</t>
  </si>
  <si>
    <t>C =</t>
  </si>
  <si>
    <t>X1 =</t>
  </si>
  <si>
    <t>X2 =</t>
  </si>
  <si>
    <t>X3 =</t>
  </si>
  <si>
    <t>X4 =</t>
  </si>
  <si>
    <t>X5 =</t>
  </si>
  <si>
    <t>X6 =</t>
  </si>
  <si>
    <t>X7 =</t>
  </si>
  <si>
    <t>X8 =</t>
  </si>
  <si>
    <t>X9 =</t>
  </si>
  <si>
    <t>X10 =</t>
  </si>
  <si>
    <t>X11 =</t>
  </si>
  <si>
    <t>X12 =</t>
  </si>
  <si>
    <t>A + C =</t>
  </si>
  <si>
    <t>A + C + C=</t>
  </si>
  <si>
    <t>C - A =</t>
  </si>
  <si>
    <t>65536 - X4 =</t>
  </si>
  <si>
    <t>-X1=</t>
  </si>
  <si>
    <t>-X2=</t>
  </si>
  <si>
    <t>-X3=</t>
  </si>
  <si>
    <t>-X4=</t>
  </si>
  <si>
    <t>-X5=</t>
  </si>
  <si>
    <t>-X6=</t>
  </si>
  <si>
    <t>B1=</t>
  </si>
  <si>
    <t>B2=</t>
  </si>
  <si>
    <t>B3=</t>
  </si>
  <si>
    <t>B4=</t>
  </si>
  <si>
    <t>B5=</t>
  </si>
  <si>
    <t>B6=</t>
  </si>
  <si>
    <t>B7=</t>
  </si>
  <si>
    <t>B8=</t>
  </si>
  <si>
    <t>B9=</t>
  </si>
  <si>
    <t>B10=</t>
  </si>
  <si>
    <t>B11=</t>
  </si>
  <si>
    <t>B12=</t>
  </si>
  <si>
    <t>-B1=</t>
  </si>
  <si>
    <t>-B2=</t>
  </si>
  <si>
    <t>-B3=</t>
  </si>
  <si>
    <t>-B4=</t>
  </si>
  <si>
    <t>-B5=</t>
  </si>
  <si>
    <t>-B6=</t>
  </si>
  <si>
    <t>.</t>
  </si>
  <si>
    <t>ОДЗ:</t>
  </si>
  <si>
    <r>
      <t>[-2</t>
    </r>
    <r>
      <rPr>
        <vertAlign val="superscript"/>
        <sz val="11"/>
        <color theme="1"/>
        <rFont val="Aptos Narrow"/>
        <family val="2"/>
        <scheme val="minor"/>
      </rPr>
      <t>15</t>
    </r>
    <r>
      <rPr>
        <sz val="11"/>
        <color theme="1"/>
        <rFont val="Aptos Narrow"/>
        <family val="2"/>
        <charset val="204"/>
        <scheme val="minor"/>
      </rPr>
      <t>; 2</t>
    </r>
    <r>
      <rPr>
        <vertAlign val="superscript"/>
        <sz val="11"/>
        <color theme="1"/>
        <rFont val="Aptos Narrow"/>
        <family val="2"/>
        <scheme val="minor"/>
      </rPr>
      <t>15</t>
    </r>
    <r>
      <rPr>
        <sz val="11"/>
        <color theme="1"/>
        <rFont val="Aptos Narrow"/>
        <family val="2"/>
        <charset val="204"/>
        <scheme val="minor"/>
      </rPr>
      <t>; -1]</t>
    </r>
  </si>
  <si>
    <t>B1</t>
  </si>
  <si>
    <t>B2</t>
  </si>
  <si>
    <t>+</t>
  </si>
  <si>
    <t>B3</t>
  </si>
  <si>
    <t>B7</t>
  </si>
  <si>
    <t>B8</t>
  </si>
  <si>
    <t>B9</t>
  </si>
  <si>
    <t>B11</t>
  </si>
  <si>
    <t>=</t>
  </si>
  <si>
    <t>X1</t>
  </si>
  <si>
    <t>X2</t>
  </si>
  <si>
    <t>X3</t>
  </si>
  <si>
    <t>X7</t>
  </si>
  <si>
    <t>X8</t>
  </si>
  <si>
    <t>X9</t>
  </si>
  <si>
    <t>X11</t>
  </si>
  <si>
    <t>X12</t>
  </si>
  <si>
    <t>CF=</t>
  </si>
  <si>
    <t>PF=</t>
  </si>
  <si>
    <t>AF=</t>
  </si>
  <si>
    <t>ZF=</t>
  </si>
  <si>
    <t>SF=</t>
  </si>
  <si>
    <t>OF=</t>
  </si>
  <si>
    <t>При сложении двух положительных слагаемых получено положительное число. Результат выполнения операции верный и корректный, совпадает с суммой десятичных эквивалентов.</t>
  </si>
  <si>
    <t>Результат корректный. Перенос из старшего разряда не учитывается</t>
  </si>
  <si>
    <t>При сложении отрицательных чисел получен положительный результат ПЕРЕПОЛНЕНИЕ!</t>
  </si>
  <si>
    <t>Результат корректный</t>
  </si>
  <si>
    <t>При сложении положительных чисел получен отрицательный результат ПЕРЕПОЛНЕНИЕ!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</si>
</sst>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93F4-6FB9-4C04-8C95-D39CF34627AA}">
  <sheetPr codeName="Sheet1"/>
  <dimension ref="A1:AG64"/>
  <sheetViews>
    <sheetView tabSelected="1" view="pageLayout" topLeftCell="B1" zoomScale="104" zoomScaleNormal="70" zoomScaleSheetLayoutView="55" zoomScalePageLayoutView="104" workbookViewId="0">
      <selection activeCell="AB20" sqref="AB20"/>
    </sheetView>
  </sheetViews>
  <sheetFormatPr defaultColWidth="9.06640625" defaultRowHeight="14.25" x14ac:dyDescent="0.45"/>
  <cols>
    <col min="1" max="1" width="5.06640625" bestFit="1" customWidth="1"/>
    <col min="2" max="2" width="10.33203125" bestFit="1" customWidth="1"/>
    <col min="3" max="3" width="6.33203125" bestFit="1" customWidth="1"/>
    <col min="4" max="4" width="2.46484375" customWidth="1"/>
    <col min="5" max="5" width="9.06640625" customWidth="1"/>
    <col min="6" max="6" width="5.59765625" customWidth="1"/>
    <col min="7" max="7" width="5.73046875" bestFit="1" customWidth="1"/>
    <col min="8" max="8" width="2.73046875" customWidth="1"/>
    <col min="9" max="10" width="2.796875" customWidth="1"/>
    <col min="11" max="11" width="2.86328125" customWidth="1"/>
    <col min="12" max="12" width="1" customWidth="1"/>
    <col min="13" max="13" width="2.796875" customWidth="1"/>
    <col min="14" max="14" width="2.9296875" customWidth="1"/>
    <col min="15" max="15" width="2.796875" customWidth="1"/>
    <col min="16" max="16" width="2.9296875" customWidth="1"/>
    <col min="17" max="17" width="0.9296875" customWidth="1"/>
    <col min="18" max="18" width="2.9296875" customWidth="1"/>
    <col min="19" max="20" width="2.86328125" customWidth="1"/>
    <col min="21" max="21" width="2.9296875" customWidth="1"/>
    <col min="22" max="22" width="1" customWidth="1"/>
    <col min="23" max="23" width="2.9296875" customWidth="1"/>
    <col min="24" max="26" width="2.86328125" customWidth="1"/>
    <col min="27" max="27" width="1.796875" customWidth="1"/>
    <col min="28" max="28" width="10.46484375" bestFit="1" customWidth="1"/>
    <col min="29" max="29" width="1.86328125" customWidth="1"/>
    <col min="30" max="30" width="3.73046875" customWidth="1"/>
    <col min="31" max="31" width="9.06640625" customWidth="1"/>
    <col min="32" max="32" width="4.73046875" bestFit="1" customWidth="1"/>
    <col min="33" max="33" width="64.796875" customWidth="1"/>
    <col min="34" max="35" width="9.06640625" customWidth="1"/>
  </cols>
  <sheetData>
    <row r="1" spans="1:33" x14ac:dyDescent="0.45">
      <c r="B1" s="1" t="s">
        <v>0</v>
      </c>
      <c r="C1">
        <v>10918</v>
      </c>
    </row>
    <row r="2" spans="1:33" x14ac:dyDescent="0.45">
      <c r="B2" s="1" t="s">
        <v>1</v>
      </c>
      <c r="C2">
        <v>19217</v>
      </c>
    </row>
    <row r="3" spans="1:33" x14ac:dyDescent="0.45">
      <c r="B3" s="1"/>
    </row>
    <row r="4" spans="1:33" ht="15.75" x14ac:dyDescent="0.45">
      <c r="A4" s="1" t="s">
        <v>2</v>
      </c>
      <c r="B4" s="1" t="s">
        <v>0</v>
      </c>
      <c r="C4">
        <f>C1</f>
        <v>10918</v>
      </c>
      <c r="E4" s="1" t="s">
        <v>24</v>
      </c>
      <c r="G4" s="8">
        <f>MOD(C4, 65536)</f>
        <v>10918</v>
      </c>
      <c r="H4" s="4">
        <f>MOD(INT(G4/POWER(2,15)),2)</f>
        <v>0</v>
      </c>
      <c r="I4" s="4">
        <f>MOD(INT(G4/POWER(2,14)),2)</f>
        <v>0</v>
      </c>
      <c r="J4" s="4">
        <f>MOD(INT(G4/POWER(2,13)),2)</f>
        <v>1</v>
      </c>
      <c r="K4" s="4">
        <f>MOD(INT(G4/POWER(2,12)),2)</f>
        <v>0</v>
      </c>
      <c r="L4" s="4" t="s">
        <v>42</v>
      </c>
      <c r="M4" s="4">
        <f>MOD(INT(G4/POWER(2,11)),2)</f>
        <v>1</v>
      </c>
      <c r="N4" s="4">
        <f>MOD(INT(G4/POWER(2,10)),2)</f>
        <v>0</v>
      </c>
      <c r="O4" s="4">
        <f>MOD(INT(G4/POWER(2,9)),2)</f>
        <v>1</v>
      </c>
      <c r="P4" s="4">
        <f>MOD(INT(G4/POWER(2,8)),2)</f>
        <v>0</v>
      </c>
      <c r="Q4" s="4" t="s">
        <v>42</v>
      </c>
      <c r="R4" s="4">
        <f>MOD(INT(G4/POWER(2,7)),2)</f>
        <v>1</v>
      </c>
      <c r="S4" s="4">
        <f>MOD(INT(G4/POWER(2,6)),2)</f>
        <v>0</v>
      </c>
      <c r="T4" s="4">
        <f>MOD(INT(G4/POWER(2,5)),2)</f>
        <v>1</v>
      </c>
      <c r="U4" s="4">
        <f>MOD(INT(G4/POWER(2,4)),2)</f>
        <v>0</v>
      </c>
      <c r="V4" s="4" t="s">
        <v>42</v>
      </c>
      <c r="W4" s="4">
        <f>MOD(INT(G4/POWER(2,3)),2)</f>
        <v>0</v>
      </c>
      <c r="X4" s="4">
        <f>MOD(INT(G4/POWER(2,2)),2)</f>
        <v>1</v>
      </c>
      <c r="Y4" s="4">
        <f>MOD(INT(G4/POWER(2,1)),2)</f>
        <v>1</v>
      </c>
      <c r="Z4">
        <f>MOD(INT(G4/POWER(2,0)),2)</f>
        <v>0</v>
      </c>
      <c r="AD4" t="s">
        <v>43</v>
      </c>
      <c r="AE4" s="5" t="s">
        <v>44</v>
      </c>
      <c r="AG4" s="5"/>
    </row>
    <row r="5" spans="1:33" x14ac:dyDescent="0.45">
      <c r="A5" s="1" t="s">
        <v>3</v>
      </c>
      <c r="B5" s="1" t="s">
        <v>1</v>
      </c>
      <c r="C5">
        <f>C2</f>
        <v>19217</v>
      </c>
      <c r="E5" s="1" t="s">
        <v>25</v>
      </c>
      <c r="G5" s="8">
        <f t="shared" ref="G5:G15" si="0">MOD(C5, 65536)</f>
        <v>19217</v>
      </c>
      <c r="H5" s="4">
        <f t="shared" ref="H5:H15" si="1">MOD(INT(G5/POWER(2,15)),2)</f>
        <v>0</v>
      </c>
      <c r="I5" s="4">
        <f t="shared" ref="I5:I15" si="2">MOD(INT(G5/POWER(2,14)),2)</f>
        <v>1</v>
      </c>
      <c r="J5" s="4">
        <f t="shared" ref="J5:J15" si="3">MOD(INT(G5/POWER(2,13)),2)</f>
        <v>0</v>
      </c>
      <c r="K5" s="4">
        <f t="shared" ref="K5:K15" si="4">MOD(INT(G5/POWER(2,12)),2)</f>
        <v>0</v>
      </c>
      <c r="L5" s="4" t="s">
        <v>42</v>
      </c>
      <c r="M5" s="4">
        <f t="shared" ref="M5:M15" si="5">MOD(INT(G5/POWER(2,11)),2)</f>
        <v>1</v>
      </c>
      <c r="N5" s="4">
        <f t="shared" ref="N5:N15" si="6">MOD(INT(G5/POWER(2,10)),2)</f>
        <v>0</v>
      </c>
      <c r="O5" s="4">
        <f t="shared" ref="O5:O15" si="7">MOD(INT(G5/POWER(2,9)),2)</f>
        <v>1</v>
      </c>
      <c r="P5" s="4">
        <f t="shared" ref="P5:P15" si="8">MOD(INT(G5/POWER(2,8)),2)</f>
        <v>1</v>
      </c>
      <c r="Q5" s="4" t="s">
        <v>42</v>
      </c>
      <c r="R5" s="4">
        <f t="shared" ref="R5:R15" si="9">MOD(INT(G5/POWER(2,7)),2)</f>
        <v>0</v>
      </c>
      <c r="S5" s="4">
        <f t="shared" ref="S5:S15" si="10">MOD(INT(G5/POWER(2,6)),2)</f>
        <v>0</v>
      </c>
      <c r="T5" s="4">
        <f t="shared" ref="T5:T15" si="11">MOD(INT(G5/POWER(2,5)),2)</f>
        <v>0</v>
      </c>
      <c r="U5" s="4">
        <f t="shared" ref="U5:U15" si="12">MOD(INT(G5/POWER(2,4)),2)</f>
        <v>1</v>
      </c>
      <c r="V5" s="4" t="s">
        <v>42</v>
      </c>
      <c r="W5" s="4">
        <f t="shared" ref="W5:W15" si="13">MOD(INT(G5/POWER(2,3)),2)</f>
        <v>0</v>
      </c>
      <c r="X5" s="4">
        <f t="shared" ref="X5:X15" si="14">MOD(INT(G5/POWER(2,2)),2)</f>
        <v>0</v>
      </c>
      <c r="Y5" s="4">
        <f t="shared" ref="Y5:Y15" si="15">MOD(INT(G5/POWER(2,1)),2)</f>
        <v>0</v>
      </c>
      <c r="Z5">
        <f t="shared" ref="Z5:Z15" si="16">MOD(INT(G5/POWER(2,0)),2)</f>
        <v>1</v>
      </c>
    </row>
    <row r="6" spans="1:33" x14ac:dyDescent="0.45">
      <c r="A6" s="1" t="s">
        <v>4</v>
      </c>
      <c r="B6" s="1" t="s">
        <v>14</v>
      </c>
      <c r="C6">
        <f>C1+C2</f>
        <v>30135</v>
      </c>
      <c r="E6" s="1" t="s">
        <v>26</v>
      </c>
      <c r="G6" s="8">
        <f t="shared" si="0"/>
        <v>30135</v>
      </c>
      <c r="H6" s="4">
        <f t="shared" si="1"/>
        <v>0</v>
      </c>
      <c r="I6" s="4">
        <f t="shared" si="2"/>
        <v>1</v>
      </c>
      <c r="J6" s="4">
        <f t="shared" si="3"/>
        <v>1</v>
      </c>
      <c r="K6" s="4">
        <f t="shared" si="4"/>
        <v>1</v>
      </c>
      <c r="L6" s="4" t="s">
        <v>42</v>
      </c>
      <c r="M6" s="4">
        <f t="shared" si="5"/>
        <v>0</v>
      </c>
      <c r="N6" s="4">
        <f t="shared" si="6"/>
        <v>1</v>
      </c>
      <c r="O6" s="4">
        <f t="shared" si="7"/>
        <v>0</v>
      </c>
      <c r="P6" s="4">
        <f t="shared" si="8"/>
        <v>1</v>
      </c>
      <c r="Q6" s="4" t="s">
        <v>42</v>
      </c>
      <c r="R6" s="4">
        <f t="shared" si="9"/>
        <v>1</v>
      </c>
      <c r="S6" s="4">
        <f t="shared" si="10"/>
        <v>0</v>
      </c>
      <c r="T6" s="4">
        <f t="shared" si="11"/>
        <v>1</v>
      </c>
      <c r="U6" s="4">
        <f t="shared" si="12"/>
        <v>1</v>
      </c>
      <c r="V6" s="4" t="s">
        <v>42</v>
      </c>
      <c r="W6" s="4">
        <f t="shared" si="13"/>
        <v>0</v>
      </c>
      <c r="X6" s="4">
        <f t="shared" si="14"/>
        <v>1</v>
      </c>
      <c r="Y6" s="4">
        <f t="shared" si="15"/>
        <v>1</v>
      </c>
      <c r="Z6">
        <f t="shared" si="16"/>
        <v>1</v>
      </c>
    </row>
    <row r="7" spans="1:33" x14ac:dyDescent="0.45">
      <c r="A7" s="1" t="s">
        <v>5</v>
      </c>
      <c r="B7" s="1" t="s">
        <v>15</v>
      </c>
      <c r="C7">
        <f>C1+C2+C2</f>
        <v>49352</v>
      </c>
      <c r="E7" s="1" t="s">
        <v>27</v>
      </c>
      <c r="G7" s="8">
        <f t="shared" si="0"/>
        <v>49352</v>
      </c>
      <c r="H7" s="4">
        <f t="shared" si="1"/>
        <v>1</v>
      </c>
      <c r="I7" s="4">
        <f t="shared" si="2"/>
        <v>1</v>
      </c>
      <c r="J7" s="4">
        <f t="shared" si="3"/>
        <v>0</v>
      </c>
      <c r="K7" s="4">
        <f t="shared" si="4"/>
        <v>0</v>
      </c>
      <c r="L7" s="4" t="s">
        <v>42</v>
      </c>
      <c r="M7" s="4">
        <f t="shared" si="5"/>
        <v>0</v>
      </c>
      <c r="N7" s="4">
        <f t="shared" si="6"/>
        <v>0</v>
      </c>
      <c r="O7" s="4">
        <f t="shared" si="7"/>
        <v>0</v>
      </c>
      <c r="P7" s="4">
        <f t="shared" si="8"/>
        <v>0</v>
      </c>
      <c r="Q7" s="4" t="s">
        <v>42</v>
      </c>
      <c r="R7" s="4">
        <f t="shared" si="9"/>
        <v>1</v>
      </c>
      <c r="S7" s="4">
        <f t="shared" si="10"/>
        <v>1</v>
      </c>
      <c r="T7" s="4">
        <f t="shared" si="11"/>
        <v>0</v>
      </c>
      <c r="U7" s="4">
        <f t="shared" si="12"/>
        <v>0</v>
      </c>
      <c r="V7" s="4" t="s">
        <v>42</v>
      </c>
      <c r="W7" s="4">
        <f t="shared" si="13"/>
        <v>1</v>
      </c>
      <c r="X7" s="4">
        <f t="shared" si="14"/>
        <v>0</v>
      </c>
      <c r="Y7" s="4">
        <f t="shared" si="15"/>
        <v>0</v>
      </c>
      <c r="Z7">
        <f t="shared" si="16"/>
        <v>0</v>
      </c>
    </row>
    <row r="8" spans="1:33" x14ac:dyDescent="0.45">
      <c r="A8" s="1" t="s">
        <v>6</v>
      </c>
      <c r="B8" s="1" t="s">
        <v>16</v>
      </c>
      <c r="C8">
        <f>C2-C1</f>
        <v>8299</v>
      </c>
      <c r="E8" s="1" t="s">
        <v>28</v>
      </c>
      <c r="G8" s="8">
        <f t="shared" si="0"/>
        <v>8299</v>
      </c>
      <c r="H8" s="4">
        <f t="shared" si="1"/>
        <v>0</v>
      </c>
      <c r="I8" s="4">
        <f t="shared" si="2"/>
        <v>0</v>
      </c>
      <c r="J8" s="4">
        <f t="shared" si="3"/>
        <v>1</v>
      </c>
      <c r="K8" s="4">
        <f t="shared" si="4"/>
        <v>0</v>
      </c>
      <c r="L8" s="4" t="s">
        <v>42</v>
      </c>
      <c r="M8" s="4">
        <f t="shared" si="5"/>
        <v>0</v>
      </c>
      <c r="N8" s="4">
        <f t="shared" si="6"/>
        <v>0</v>
      </c>
      <c r="O8" s="4">
        <f t="shared" si="7"/>
        <v>0</v>
      </c>
      <c r="P8" s="4">
        <f t="shared" si="8"/>
        <v>0</v>
      </c>
      <c r="Q8" s="4" t="s">
        <v>42</v>
      </c>
      <c r="R8" s="4">
        <f t="shared" si="9"/>
        <v>0</v>
      </c>
      <c r="S8" s="4">
        <f t="shared" si="10"/>
        <v>1</v>
      </c>
      <c r="T8" s="4">
        <f t="shared" si="11"/>
        <v>1</v>
      </c>
      <c r="U8" s="4">
        <f t="shared" si="12"/>
        <v>0</v>
      </c>
      <c r="V8" s="4" t="s">
        <v>42</v>
      </c>
      <c r="W8" s="4">
        <f t="shared" si="13"/>
        <v>1</v>
      </c>
      <c r="X8" s="4">
        <f t="shared" si="14"/>
        <v>0</v>
      </c>
      <c r="Y8" s="4">
        <f t="shared" si="15"/>
        <v>1</v>
      </c>
      <c r="Z8">
        <f t="shared" si="16"/>
        <v>1</v>
      </c>
    </row>
    <row r="9" spans="1:33" x14ac:dyDescent="0.45">
      <c r="A9" s="1" t="s">
        <v>7</v>
      </c>
      <c r="B9" s="1" t="s">
        <v>17</v>
      </c>
      <c r="C9">
        <f>65536-C7</f>
        <v>16184</v>
      </c>
      <c r="E9" s="1" t="s">
        <v>29</v>
      </c>
      <c r="G9" s="8">
        <f t="shared" si="0"/>
        <v>16184</v>
      </c>
      <c r="H9" s="4">
        <f t="shared" si="1"/>
        <v>0</v>
      </c>
      <c r="I9" s="4">
        <f t="shared" si="2"/>
        <v>0</v>
      </c>
      <c r="J9" s="4">
        <f t="shared" si="3"/>
        <v>1</v>
      </c>
      <c r="K9" s="4">
        <f t="shared" si="4"/>
        <v>1</v>
      </c>
      <c r="L9" s="4" t="s">
        <v>42</v>
      </c>
      <c r="M9" s="4">
        <f t="shared" si="5"/>
        <v>1</v>
      </c>
      <c r="N9" s="4">
        <f t="shared" si="6"/>
        <v>1</v>
      </c>
      <c r="O9" s="4">
        <f t="shared" si="7"/>
        <v>1</v>
      </c>
      <c r="P9" s="4">
        <f t="shared" si="8"/>
        <v>1</v>
      </c>
      <c r="Q9" s="4" t="s">
        <v>42</v>
      </c>
      <c r="R9" s="4">
        <f t="shared" si="9"/>
        <v>0</v>
      </c>
      <c r="S9" s="4">
        <f t="shared" si="10"/>
        <v>0</v>
      </c>
      <c r="T9" s="4">
        <f t="shared" si="11"/>
        <v>1</v>
      </c>
      <c r="U9" s="4">
        <f t="shared" si="12"/>
        <v>1</v>
      </c>
      <c r="V9" s="4" t="s">
        <v>42</v>
      </c>
      <c r="W9" s="4">
        <f t="shared" si="13"/>
        <v>1</v>
      </c>
      <c r="X9" s="4">
        <f t="shared" si="14"/>
        <v>0</v>
      </c>
      <c r="Y9" s="4">
        <f t="shared" si="15"/>
        <v>0</v>
      </c>
      <c r="Z9">
        <f t="shared" si="16"/>
        <v>0</v>
      </c>
    </row>
    <row r="10" spans="1:33" x14ac:dyDescent="0.45">
      <c r="A10" s="1" t="s">
        <v>8</v>
      </c>
      <c r="B10" s="2" t="s">
        <v>18</v>
      </c>
      <c r="C10">
        <f t="shared" ref="C10:C15" si="17">-C4</f>
        <v>-10918</v>
      </c>
      <c r="E10" s="1" t="s">
        <v>30</v>
      </c>
      <c r="F10" s="3" t="s">
        <v>36</v>
      </c>
      <c r="G10" s="8">
        <f t="shared" si="0"/>
        <v>54618</v>
      </c>
      <c r="H10" s="4">
        <f t="shared" si="1"/>
        <v>1</v>
      </c>
      <c r="I10" s="4">
        <f t="shared" si="2"/>
        <v>1</v>
      </c>
      <c r="J10" s="4">
        <f t="shared" si="3"/>
        <v>0</v>
      </c>
      <c r="K10" s="4">
        <f t="shared" si="4"/>
        <v>1</v>
      </c>
      <c r="L10" s="4" t="s">
        <v>42</v>
      </c>
      <c r="M10" s="4">
        <f t="shared" si="5"/>
        <v>0</v>
      </c>
      <c r="N10" s="4">
        <f t="shared" si="6"/>
        <v>1</v>
      </c>
      <c r="O10" s="4">
        <f t="shared" si="7"/>
        <v>0</v>
      </c>
      <c r="P10" s="4">
        <f t="shared" si="8"/>
        <v>1</v>
      </c>
      <c r="Q10" s="4" t="s">
        <v>42</v>
      </c>
      <c r="R10" s="4">
        <f t="shared" si="9"/>
        <v>0</v>
      </c>
      <c r="S10" s="4">
        <f t="shared" si="10"/>
        <v>1</v>
      </c>
      <c r="T10" s="4">
        <f t="shared" si="11"/>
        <v>0</v>
      </c>
      <c r="U10" s="4">
        <f t="shared" si="12"/>
        <v>1</v>
      </c>
      <c r="V10" s="4" t="s">
        <v>42</v>
      </c>
      <c r="W10" s="4">
        <f t="shared" si="13"/>
        <v>1</v>
      </c>
      <c r="X10" s="4">
        <f t="shared" si="14"/>
        <v>0</v>
      </c>
      <c r="Y10" s="4">
        <f t="shared" si="15"/>
        <v>1</v>
      </c>
      <c r="Z10">
        <f t="shared" si="16"/>
        <v>0</v>
      </c>
    </row>
    <row r="11" spans="1:33" x14ac:dyDescent="0.45">
      <c r="A11" s="1" t="s">
        <v>9</v>
      </c>
      <c r="B11" s="2" t="s">
        <v>19</v>
      </c>
      <c r="C11">
        <f t="shared" si="17"/>
        <v>-19217</v>
      </c>
      <c r="E11" s="1" t="s">
        <v>31</v>
      </c>
      <c r="F11" s="3" t="s">
        <v>37</v>
      </c>
      <c r="G11" s="8">
        <f t="shared" si="0"/>
        <v>46319</v>
      </c>
      <c r="H11" s="4">
        <f t="shared" si="1"/>
        <v>1</v>
      </c>
      <c r="I11" s="4">
        <f t="shared" si="2"/>
        <v>0</v>
      </c>
      <c r="J11" s="4">
        <f t="shared" si="3"/>
        <v>1</v>
      </c>
      <c r="K11" s="4">
        <f t="shared" si="4"/>
        <v>1</v>
      </c>
      <c r="L11" s="4" t="s">
        <v>42</v>
      </c>
      <c r="M11" s="4">
        <f t="shared" si="5"/>
        <v>0</v>
      </c>
      <c r="N11" s="4">
        <f t="shared" si="6"/>
        <v>1</v>
      </c>
      <c r="O11" s="4">
        <f t="shared" si="7"/>
        <v>0</v>
      </c>
      <c r="P11" s="4">
        <f t="shared" si="8"/>
        <v>0</v>
      </c>
      <c r="Q11" s="4" t="s">
        <v>42</v>
      </c>
      <c r="R11" s="4">
        <f t="shared" si="9"/>
        <v>1</v>
      </c>
      <c r="S11" s="4">
        <f t="shared" si="10"/>
        <v>1</v>
      </c>
      <c r="T11" s="4">
        <f t="shared" si="11"/>
        <v>1</v>
      </c>
      <c r="U11" s="4">
        <f t="shared" si="12"/>
        <v>0</v>
      </c>
      <c r="V11" s="4" t="s">
        <v>42</v>
      </c>
      <c r="W11" s="4">
        <f t="shared" si="13"/>
        <v>1</v>
      </c>
      <c r="X11" s="4">
        <f t="shared" si="14"/>
        <v>1</v>
      </c>
      <c r="Y11" s="4">
        <f t="shared" si="15"/>
        <v>1</v>
      </c>
      <c r="Z11">
        <f t="shared" si="16"/>
        <v>1</v>
      </c>
    </row>
    <row r="12" spans="1:33" x14ac:dyDescent="0.45">
      <c r="A12" s="1" t="s">
        <v>10</v>
      </c>
      <c r="B12" s="2" t="s">
        <v>20</v>
      </c>
      <c r="C12">
        <f t="shared" si="17"/>
        <v>-30135</v>
      </c>
      <c r="E12" s="1" t="s">
        <v>32</v>
      </c>
      <c r="F12" s="3" t="s">
        <v>38</v>
      </c>
      <c r="G12" s="8">
        <f t="shared" si="0"/>
        <v>35401</v>
      </c>
      <c r="H12" s="4">
        <f t="shared" si="1"/>
        <v>1</v>
      </c>
      <c r="I12" s="4">
        <f t="shared" si="2"/>
        <v>0</v>
      </c>
      <c r="J12" s="4">
        <f t="shared" si="3"/>
        <v>0</v>
      </c>
      <c r="K12" s="4">
        <f t="shared" si="4"/>
        <v>0</v>
      </c>
      <c r="L12" s="4" t="s">
        <v>42</v>
      </c>
      <c r="M12" s="4">
        <f t="shared" si="5"/>
        <v>1</v>
      </c>
      <c r="N12" s="4">
        <f t="shared" si="6"/>
        <v>0</v>
      </c>
      <c r="O12" s="4">
        <f t="shared" si="7"/>
        <v>1</v>
      </c>
      <c r="P12" s="4">
        <f t="shared" si="8"/>
        <v>0</v>
      </c>
      <c r="Q12" s="4" t="s">
        <v>42</v>
      </c>
      <c r="R12" s="4">
        <f t="shared" si="9"/>
        <v>0</v>
      </c>
      <c r="S12" s="4">
        <f t="shared" si="10"/>
        <v>1</v>
      </c>
      <c r="T12" s="4">
        <f t="shared" si="11"/>
        <v>0</v>
      </c>
      <c r="U12" s="4">
        <f t="shared" si="12"/>
        <v>0</v>
      </c>
      <c r="V12" s="4" t="s">
        <v>42</v>
      </c>
      <c r="W12" s="4">
        <f t="shared" si="13"/>
        <v>1</v>
      </c>
      <c r="X12" s="4">
        <f t="shared" si="14"/>
        <v>0</v>
      </c>
      <c r="Y12" s="4">
        <f t="shared" si="15"/>
        <v>0</v>
      </c>
      <c r="Z12">
        <f t="shared" si="16"/>
        <v>1</v>
      </c>
    </row>
    <row r="13" spans="1:33" x14ac:dyDescent="0.45">
      <c r="A13" s="1" t="s">
        <v>11</v>
      </c>
      <c r="B13" s="2" t="s">
        <v>21</v>
      </c>
      <c r="C13">
        <f t="shared" si="17"/>
        <v>-49352</v>
      </c>
      <c r="E13" s="1" t="s">
        <v>33</v>
      </c>
      <c r="F13" s="3" t="s">
        <v>39</v>
      </c>
      <c r="G13" s="8">
        <f t="shared" si="0"/>
        <v>16184</v>
      </c>
      <c r="H13" s="4">
        <f t="shared" si="1"/>
        <v>0</v>
      </c>
      <c r="I13" s="4">
        <f t="shared" si="2"/>
        <v>0</v>
      </c>
      <c r="J13" s="4">
        <f t="shared" si="3"/>
        <v>1</v>
      </c>
      <c r="K13" s="4">
        <f t="shared" si="4"/>
        <v>1</v>
      </c>
      <c r="L13" s="4" t="s">
        <v>42</v>
      </c>
      <c r="M13" s="4">
        <f t="shared" si="5"/>
        <v>1</v>
      </c>
      <c r="N13" s="4">
        <f t="shared" si="6"/>
        <v>1</v>
      </c>
      <c r="O13" s="4">
        <f t="shared" si="7"/>
        <v>1</v>
      </c>
      <c r="P13" s="4">
        <f t="shared" si="8"/>
        <v>1</v>
      </c>
      <c r="Q13" s="4" t="s">
        <v>42</v>
      </c>
      <c r="R13" s="4">
        <f t="shared" si="9"/>
        <v>0</v>
      </c>
      <c r="S13" s="4">
        <f t="shared" si="10"/>
        <v>0</v>
      </c>
      <c r="T13" s="4">
        <f t="shared" si="11"/>
        <v>1</v>
      </c>
      <c r="U13" s="4">
        <f t="shared" si="12"/>
        <v>1</v>
      </c>
      <c r="V13" s="4" t="s">
        <v>42</v>
      </c>
      <c r="W13" s="4">
        <f t="shared" si="13"/>
        <v>1</v>
      </c>
      <c r="X13" s="4">
        <f t="shared" si="14"/>
        <v>0</v>
      </c>
      <c r="Y13" s="4">
        <f t="shared" si="15"/>
        <v>0</v>
      </c>
      <c r="Z13">
        <f t="shared" si="16"/>
        <v>0</v>
      </c>
    </row>
    <row r="14" spans="1:33" x14ac:dyDescent="0.45">
      <c r="A14" s="1" t="s">
        <v>12</v>
      </c>
      <c r="B14" s="2" t="s">
        <v>22</v>
      </c>
      <c r="C14">
        <f t="shared" si="17"/>
        <v>-8299</v>
      </c>
      <c r="E14" s="1" t="s">
        <v>34</v>
      </c>
      <c r="F14" s="3" t="s">
        <v>40</v>
      </c>
      <c r="G14" s="8">
        <f t="shared" si="0"/>
        <v>57237</v>
      </c>
      <c r="H14" s="4">
        <f t="shared" si="1"/>
        <v>1</v>
      </c>
      <c r="I14" s="4">
        <f t="shared" si="2"/>
        <v>1</v>
      </c>
      <c r="J14" s="4">
        <f t="shared" si="3"/>
        <v>0</v>
      </c>
      <c r="K14" s="4">
        <f t="shared" si="4"/>
        <v>1</v>
      </c>
      <c r="L14" s="4" t="s">
        <v>42</v>
      </c>
      <c r="M14" s="4">
        <f t="shared" si="5"/>
        <v>1</v>
      </c>
      <c r="N14" s="4">
        <f t="shared" si="6"/>
        <v>1</v>
      </c>
      <c r="O14" s="4">
        <f t="shared" si="7"/>
        <v>1</v>
      </c>
      <c r="P14" s="4">
        <f t="shared" si="8"/>
        <v>1</v>
      </c>
      <c r="Q14" s="4" t="s">
        <v>42</v>
      </c>
      <c r="R14" s="4">
        <f t="shared" si="9"/>
        <v>1</v>
      </c>
      <c r="S14" s="4">
        <f t="shared" si="10"/>
        <v>0</v>
      </c>
      <c r="T14" s="4">
        <f t="shared" si="11"/>
        <v>0</v>
      </c>
      <c r="U14" s="4">
        <f t="shared" si="12"/>
        <v>1</v>
      </c>
      <c r="V14" s="4" t="s">
        <v>42</v>
      </c>
      <c r="W14" s="4">
        <f t="shared" si="13"/>
        <v>0</v>
      </c>
      <c r="X14" s="4">
        <f t="shared" si="14"/>
        <v>1</v>
      </c>
      <c r="Y14" s="4">
        <f t="shared" si="15"/>
        <v>0</v>
      </c>
      <c r="Z14">
        <f t="shared" si="16"/>
        <v>1</v>
      </c>
    </row>
    <row r="15" spans="1:33" x14ac:dyDescent="0.45">
      <c r="A15" s="1" t="s">
        <v>13</v>
      </c>
      <c r="B15" s="2" t="s">
        <v>23</v>
      </c>
      <c r="C15">
        <f t="shared" si="17"/>
        <v>-16184</v>
      </c>
      <c r="E15" s="1" t="s">
        <v>35</v>
      </c>
      <c r="F15" s="3" t="s">
        <v>41</v>
      </c>
      <c r="G15" s="8">
        <f t="shared" si="0"/>
        <v>49352</v>
      </c>
      <c r="H15" s="4">
        <f t="shared" si="1"/>
        <v>1</v>
      </c>
      <c r="I15" s="4">
        <f t="shared" si="2"/>
        <v>1</v>
      </c>
      <c r="J15" s="4">
        <f t="shared" si="3"/>
        <v>0</v>
      </c>
      <c r="K15" s="4">
        <f t="shared" si="4"/>
        <v>0</v>
      </c>
      <c r="L15" s="4" t="s">
        <v>42</v>
      </c>
      <c r="M15" s="4">
        <f t="shared" si="5"/>
        <v>0</v>
      </c>
      <c r="N15" s="4">
        <f t="shared" si="6"/>
        <v>0</v>
      </c>
      <c r="O15" s="4">
        <f t="shared" si="7"/>
        <v>0</v>
      </c>
      <c r="P15" s="4">
        <f t="shared" si="8"/>
        <v>0</v>
      </c>
      <c r="Q15" s="4" t="s">
        <v>42</v>
      </c>
      <c r="R15" s="4">
        <f t="shared" si="9"/>
        <v>1</v>
      </c>
      <c r="S15" s="4">
        <f t="shared" si="10"/>
        <v>1</v>
      </c>
      <c r="T15" s="4">
        <f t="shared" si="11"/>
        <v>0</v>
      </c>
      <c r="U15" s="4">
        <f t="shared" si="12"/>
        <v>0</v>
      </c>
      <c r="V15" s="4" t="s">
        <v>42</v>
      </c>
      <c r="W15" s="4">
        <f t="shared" si="13"/>
        <v>1</v>
      </c>
      <c r="X15" s="4">
        <f t="shared" si="14"/>
        <v>0</v>
      </c>
      <c r="Y15" s="4">
        <f t="shared" si="15"/>
        <v>0</v>
      </c>
      <c r="Z15">
        <f t="shared" si="16"/>
        <v>0</v>
      </c>
    </row>
    <row r="17" spans="4:33" x14ac:dyDescent="0.45">
      <c r="G17" s="4"/>
      <c r="H17">
        <f>IF(I17+I18+I19&gt;=2,1,0)</f>
        <v>0</v>
      </c>
      <c r="I17">
        <f>IF(J17+J18+J19&gt;=2,1,0)</f>
        <v>0</v>
      </c>
      <c r="J17">
        <f>IF(K17+K18+K19&gt;=2,1,0)</f>
        <v>0</v>
      </c>
      <c r="K17">
        <f>IF(M17+M18+M19&gt;=2,1,0)</f>
        <v>1</v>
      </c>
      <c r="L17" t="s">
        <v>42</v>
      </c>
      <c r="M17">
        <f>IF(N17+N18+N19&gt;=2,1,0)</f>
        <v>0</v>
      </c>
      <c r="N17">
        <f t="shared" ref="N17" si="18">IF(O17+O18+O19&gt;=2,1,0)</f>
        <v>1</v>
      </c>
      <c r="O17">
        <f>IF(P17+P18+P19&gt;=2,1,0)</f>
        <v>0</v>
      </c>
      <c r="P17">
        <f t="shared" ref="P17" si="19">IF(R17+R18+R19&gt;=2,1,0)</f>
        <v>0</v>
      </c>
      <c r="Q17" t="s">
        <v>42</v>
      </c>
      <c r="R17">
        <f t="shared" ref="R17:T17" si="20">IF(S17+S18+S19&gt;=2,1,0)</f>
        <v>0</v>
      </c>
      <c r="S17">
        <f t="shared" si="20"/>
        <v>0</v>
      </c>
      <c r="T17">
        <f t="shared" si="20"/>
        <v>0</v>
      </c>
      <c r="U17">
        <f t="shared" ref="U17" si="21">IF(W17+W18+W19&gt;=2,1,0)</f>
        <v>0</v>
      </c>
      <c r="V17" t="s">
        <v>42</v>
      </c>
      <c r="W17">
        <f t="shared" ref="W17:Y17" si="22">IF(X17+X18+X19&gt;=2,1,0)</f>
        <v>0</v>
      </c>
      <c r="X17">
        <f t="shared" si="22"/>
        <v>0</v>
      </c>
      <c r="Y17">
        <f t="shared" si="22"/>
        <v>0</v>
      </c>
      <c r="Z17">
        <f t="shared" ref="Z17" si="23">IF(AB17+AB18+AB19&gt;=2,1,0)</f>
        <v>0</v>
      </c>
    </row>
    <row r="18" spans="4:33" ht="14.25" customHeight="1" x14ac:dyDescent="0.45">
      <c r="E18" s="1" t="s">
        <v>45</v>
      </c>
      <c r="H18">
        <f>H4</f>
        <v>0</v>
      </c>
      <c r="I18">
        <f>I4</f>
        <v>0</v>
      </c>
      <c r="J18">
        <f>J4</f>
        <v>1</v>
      </c>
      <c r="K18">
        <f>K4</f>
        <v>0</v>
      </c>
      <c r="L18" t="str">
        <f t="shared" ref="L18:Z18" si="24">L4</f>
        <v>.</v>
      </c>
      <c r="M18">
        <f t="shared" si="24"/>
        <v>1</v>
      </c>
      <c r="N18">
        <f t="shared" si="24"/>
        <v>0</v>
      </c>
      <c r="O18">
        <f t="shared" si="24"/>
        <v>1</v>
      </c>
      <c r="P18">
        <f t="shared" si="24"/>
        <v>0</v>
      </c>
      <c r="Q18" t="str">
        <f t="shared" si="24"/>
        <v>.</v>
      </c>
      <c r="R18">
        <f t="shared" si="24"/>
        <v>1</v>
      </c>
      <c r="S18">
        <f t="shared" si="24"/>
        <v>0</v>
      </c>
      <c r="T18">
        <f t="shared" si="24"/>
        <v>1</v>
      </c>
      <c r="U18">
        <f t="shared" si="24"/>
        <v>0</v>
      </c>
      <c r="V18" t="str">
        <f t="shared" si="24"/>
        <v>.</v>
      </c>
      <c r="W18">
        <f t="shared" si="24"/>
        <v>0</v>
      </c>
      <c r="X18">
        <f t="shared" si="24"/>
        <v>1</v>
      </c>
      <c r="Y18">
        <f t="shared" si="24"/>
        <v>1</v>
      </c>
      <c r="Z18">
        <f t="shared" si="24"/>
        <v>0</v>
      </c>
      <c r="AD18" s="1" t="s">
        <v>54</v>
      </c>
      <c r="AE18">
        <f>C4</f>
        <v>10918</v>
      </c>
      <c r="AG18" s="9" t="s">
        <v>68</v>
      </c>
    </row>
    <row r="19" spans="4:33" ht="15.75" x14ac:dyDescent="0.55000000000000004">
      <c r="D19" s="6" t="s">
        <v>47</v>
      </c>
      <c r="E19" s="10" t="s">
        <v>46</v>
      </c>
      <c r="F19" s="6"/>
      <c r="G19" s="6"/>
      <c r="H19" s="6">
        <f>H5</f>
        <v>0</v>
      </c>
      <c r="I19" s="6">
        <f t="shared" ref="I19:Z19" si="25">I5</f>
        <v>1</v>
      </c>
      <c r="J19" s="6">
        <f t="shared" si="25"/>
        <v>0</v>
      </c>
      <c r="K19" s="6">
        <f t="shared" si="25"/>
        <v>0</v>
      </c>
      <c r="L19" s="6" t="str">
        <f t="shared" si="25"/>
        <v>.</v>
      </c>
      <c r="M19" s="6">
        <f t="shared" si="25"/>
        <v>1</v>
      </c>
      <c r="N19" s="6">
        <f t="shared" si="25"/>
        <v>0</v>
      </c>
      <c r="O19" s="6">
        <f t="shared" si="25"/>
        <v>1</v>
      </c>
      <c r="P19" s="6">
        <f t="shared" si="25"/>
        <v>1</v>
      </c>
      <c r="Q19" s="6" t="str">
        <f t="shared" si="25"/>
        <v>.</v>
      </c>
      <c r="R19" s="6">
        <f t="shared" si="25"/>
        <v>0</v>
      </c>
      <c r="S19" s="6">
        <f t="shared" si="25"/>
        <v>0</v>
      </c>
      <c r="T19" s="6">
        <f t="shared" si="25"/>
        <v>0</v>
      </c>
      <c r="U19" s="6">
        <f t="shared" si="25"/>
        <v>1</v>
      </c>
      <c r="V19" s="6" t="str">
        <f t="shared" si="25"/>
        <v>.</v>
      </c>
      <c r="W19" s="6">
        <f t="shared" si="25"/>
        <v>0</v>
      </c>
      <c r="X19" s="6">
        <f t="shared" si="25"/>
        <v>0</v>
      </c>
      <c r="Y19" s="6">
        <f t="shared" si="25"/>
        <v>0</v>
      </c>
      <c r="Z19" s="6">
        <f t="shared" si="25"/>
        <v>1</v>
      </c>
      <c r="AC19" s="7" t="s">
        <v>47</v>
      </c>
      <c r="AD19" s="7" t="s">
        <v>55</v>
      </c>
      <c r="AE19" s="6">
        <f>C5</f>
        <v>19217</v>
      </c>
      <c r="AG19" s="9"/>
    </row>
    <row r="20" spans="4:33" x14ac:dyDescent="0.45">
      <c r="D20" s="4"/>
      <c r="H20">
        <f>IF(H17+H18+H19=2,0,IF(OR(H17+H18+H19=1,H17+H18+H19=3),1,0))</f>
        <v>0</v>
      </c>
      <c r="I20">
        <f>IF(I17+I18+I19=2,0,IF(OR(I17+I18+I19=1,I17+I18+I19=3),1,0))</f>
        <v>1</v>
      </c>
      <c r="J20">
        <f>IF(J17+J18+J19=2,0,IF(OR(J17+J18+J19=1,J17+J18+J19=3),1,0))</f>
        <v>1</v>
      </c>
      <c r="K20">
        <f>IF(K17+K18+K19=2,0,IF(OR(K17+K18+K19=1,K17+K18+K19=3),1,0))</f>
        <v>1</v>
      </c>
      <c r="L20" t="s">
        <v>42</v>
      </c>
      <c r="M20">
        <f>IF(M17+M18+M19=2,0,IF(OR(M17+M18+M19=1,M17+M18+M19=3),1,0))</f>
        <v>0</v>
      </c>
      <c r="N20">
        <f>IF(N17+N18+N19=2,0,IF(OR(N17+N18+N19=1,N17+N18+N19=3),1,0))</f>
        <v>1</v>
      </c>
      <c r="O20">
        <f>IF(O17+O18+O19=2,0,IF(OR(O17+O18+O19=1,O17+O18+O19=3),1,0))</f>
        <v>0</v>
      </c>
      <c r="P20">
        <f>IF(P17+P18+P19=2,0,IF(OR(P17+P18+P19=1,P17+P18+P19=3),1,0))</f>
        <v>1</v>
      </c>
      <c r="Q20" t="s">
        <v>42</v>
      </c>
      <c r="R20">
        <f>IF(R17+R18+R19=2,0,IF(OR(R17+R18+R19=1,R17+R18+R19=3),1,0))</f>
        <v>1</v>
      </c>
      <c r="S20">
        <f>IF(S17+S18+S19=2,0,IF(OR(S17+S18+S19=1,S17+S18+S19=3),1,0))</f>
        <v>0</v>
      </c>
      <c r="T20">
        <f>IF(T17+T18+T19=2,0,IF(OR(T17+T18+T19=1,T17+T18+T19=3),1,0))</f>
        <v>1</v>
      </c>
      <c r="U20">
        <f>IF(U17+U18+U19=2,0,IF(OR(U17+U18+U19=1,U17+U18+U19=3),1,0))</f>
        <v>1</v>
      </c>
      <c r="V20" t="s">
        <v>42</v>
      </c>
      <c r="W20">
        <f>IF(W17+W18+W19=2,0,IF(OR(W17+W18+W19=1,W17+W18+W19=3),1,0))</f>
        <v>0</v>
      </c>
      <c r="X20">
        <f>IF(X17+X18+X19=2,0,IF(OR(X17+X18+X19=1,X17+X18+X19=3),1,0))</f>
        <v>1</v>
      </c>
      <c r="Y20">
        <f>IF(Y17+Y18+Y19=2,0,IF(OR(Y17+Y18+Y19=1,Y17+Y18+Y19=3),1,0))</f>
        <v>1</v>
      </c>
      <c r="Z20">
        <f>IF(Z17+Z18+Z19=2,0,IF(OR(Z17+Z18+Z19=1,Z17+Z18+Z19=3),1,0))</f>
        <v>1</v>
      </c>
      <c r="AA20" t="s">
        <v>53</v>
      </c>
      <c r="AB20">
        <f>-BIN2DEC(_xlfn.NUMBERVALUE(H20))*2^15+BIN2DEC(_xlfn.NUMBERVALUE(I20&amp;J20&amp;K20&amp;M20&amp;N20&amp;O20&amp;P20))*2^8+BIN2DEC(_xlfn.NUMBERVALUE(R20&amp;S20&amp;T20&amp;U20&amp;W20&amp;X20&amp;Y20&amp;Z20))</f>
        <v>30135</v>
      </c>
      <c r="AE20">
        <f>AE18+AE19</f>
        <v>30135</v>
      </c>
      <c r="AG20" s="9"/>
    </row>
    <row r="21" spans="4:33" x14ac:dyDescent="0.45">
      <c r="D21" s="4"/>
      <c r="AG21" s="9"/>
    </row>
    <row r="22" spans="4:33" x14ac:dyDescent="0.45">
      <c r="G22" s="1" t="s">
        <v>62</v>
      </c>
      <c r="H22">
        <f>IF(H17+H18+H19&gt;=2,1,0)</f>
        <v>0</v>
      </c>
      <c r="I22" t="s">
        <v>63</v>
      </c>
      <c r="K22">
        <f>IF(MOD(SUM(R20:U20,W20:Z20),2)=0,1,0)</f>
        <v>1</v>
      </c>
      <c r="M22" t="s">
        <v>64</v>
      </c>
      <c r="O22">
        <f>U17</f>
        <v>0</v>
      </c>
      <c r="P22" t="s">
        <v>65</v>
      </c>
      <c r="R22">
        <f>IF(SUM(H20:K20,M20:P20,R20:U20,W20:Z20)=0,1,0)</f>
        <v>0</v>
      </c>
      <c r="S22" t="s">
        <v>66</v>
      </c>
      <c r="T22">
        <f>H20</f>
        <v>0</v>
      </c>
      <c r="W22" t="s">
        <v>67</v>
      </c>
      <c r="X22">
        <f>IF(_xlfn.BITAND(AE20&gt;=-32768,AE20&lt;=32767),0,1)</f>
        <v>0</v>
      </c>
    </row>
    <row r="24" spans="4:33" x14ac:dyDescent="0.45">
      <c r="G24" s="4"/>
      <c r="H24">
        <f>IF(I24+I25+I26&gt;=2,1,0)</f>
        <v>1</v>
      </c>
      <c r="I24">
        <f>IF(J24+J25+J26&gt;=2,1,0)</f>
        <v>1</v>
      </c>
      <c r="J24">
        <f>IF(K24+K25+K26&gt;=2,1,0)</f>
        <v>1</v>
      </c>
      <c r="K24">
        <f>IF(M24+M25+M26&gt;=2,1,0)</f>
        <v>1</v>
      </c>
      <c r="L24" t="s">
        <v>42</v>
      </c>
      <c r="M24">
        <f>IF(N24+N25+N26&gt;=2,1,0)</f>
        <v>1</v>
      </c>
      <c r="N24">
        <f t="shared" ref="N24" si="26">IF(O24+O25+O26&gt;=2,1,0)</f>
        <v>1</v>
      </c>
      <c r="O24">
        <f>IF(P24+P25+P26&gt;=2,1,0)</f>
        <v>1</v>
      </c>
      <c r="P24">
        <f t="shared" ref="P24" si="27">IF(R24+R25+R26&gt;=2,1,0)</f>
        <v>0</v>
      </c>
      <c r="Q24" t="s">
        <v>42</v>
      </c>
      <c r="R24">
        <f t="shared" ref="R24:T24" si="28">IF(S24+S25+S26&gt;=2,1,0)</f>
        <v>0</v>
      </c>
      <c r="S24">
        <f t="shared" si="28"/>
        <v>1</v>
      </c>
      <c r="T24">
        <f t="shared" si="28"/>
        <v>1</v>
      </c>
      <c r="U24">
        <f t="shared" ref="U24" si="29">IF(W24+W25+W26&gt;=2,1,0)</f>
        <v>0</v>
      </c>
      <c r="V24" t="s">
        <v>42</v>
      </c>
      <c r="W24">
        <f t="shared" ref="W24:Y24" si="30">IF(X24+X25+X26&gt;=2,1,0)</f>
        <v>1</v>
      </c>
      <c r="X24">
        <f t="shared" si="30"/>
        <v>1</v>
      </c>
      <c r="Y24">
        <f t="shared" si="30"/>
        <v>1</v>
      </c>
      <c r="Z24">
        <f>IF(AB23+AB25+AB26&gt;=2,1,0)</f>
        <v>0</v>
      </c>
    </row>
    <row r="25" spans="4:33" ht="14.25" customHeight="1" x14ac:dyDescent="0.45">
      <c r="E25" s="1" t="s">
        <v>46</v>
      </c>
      <c r="H25">
        <f>H5</f>
        <v>0</v>
      </c>
      <c r="I25">
        <f t="shared" ref="I25:Z25" si="31">I5</f>
        <v>1</v>
      </c>
      <c r="J25">
        <f t="shared" si="31"/>
        <v>0</v>
      </c>
      <c r="K25">
        <f t="shared" si="31"/>
        <v>0</v>
      </c>
      <c r="L25" t="str">
        <f t="shared" si="31"/>
        <v>.</v>
      </c>
      <c r="M25">
        <f t="shared" si="31"/>
        <v>1</v>
      </c>
      <c r="N25">
        <f t="shared" si="31"/>
        <v>0</v>
      </c>
      <c r="O25">
        <f t="shared" si="31"/>
        <v>1</v>
      </c>
      <c r="P25">
        <f t="shared" si="31"/>
        <v>1</v>
      </c>
      <c r="Q25" t="str">
        <f t="shared" si="31"/>
        <v>.</v>
      </c>
      <c r="R25">
        <f t="shared" si="31"/>
        <v>0</v>
      </c>
      <c r="S25">
        <f t="shared" si="31"/>
        <v>0</v>
      </c>
      <c r="T25">
        <f t="shared" si="31"/>
        <v>0</v>
      </c>
      <c r="U25">
        <f t="shared" si="31"/>
        <v>1</v>
      </c>
      <c r="V25" t="str">
        <f t="shared" si="31"/>
        <v>.</v>
      </c>
      <c r="W25">
        <f t="shared" si="31"/>
        <v>0</v>
      </c>
      <c r="X25">
        <f t="shared" si="31"/>
        <v>0</v>
      </c>
      <c r="Y25">
        <f t="shared" si="31"/>
        <v>0</v>
      </c>
      <c r="Z25">
        <f t="shared" si="31"/>
        <v>1</v>
      </c>
      <c r="AD25" s="1" t="s">
        <v>55</v>
      </c>
      <c r="AE25">
        <f>C5</f>
        <v>19217</v>
      </c>
      <c r="AG25" t="s">
        <v>72</v>
      </c>
    </row>
    <row r="26" spans="4:33" x14ac:dyDescent="0.45">
      <c r="D26" s="6" t="s">
        <v>47</v>
      </c>
      <c r="E26" s="7" t="s">
        <v>48</v>
      </c>
      <c r="F26" s="6"/>
      <c r="G26" s="6"/>
      <c r="H26" s="6">
        <f>H6</f>
        <v>0</v>
      </c>
      <c r="I26" s="6">
        <f t="shared" ref="I26:Z26" si="32">I6</f>
        <v>1</v>
      </c>
      <c r="J26" s="6">
        <f t="shared" si="32"/>
        <v>1</v>
      </c>
      <c r="K26" s="6">
        <f t="shared" si="32"/>
        <v>1</v>
      </c>
      <c r="L26" s="6" t="str">
        <f t="shared" si="32"/>
        <v>.</v>
      </c>
      <c r="M26" s="6">
        <f t="shared" si="32"/>
        <v>0</v>
      </c>
      <c r="N26" s="6">
        <f t="shared" si="32"/>
        <v>1</v>
      </c>
      <c r="O26" s="6">
        <f t="shared" si="32"/>
        <v>0</v>
      </c>
      <c r="P26" s="6">
        <f t="shared" si="32"/>
        <v>1</v>
      </c>
      <c r="Q26" s="6" t="str">
        <f t="shared" si="32"/>
        <v>.</v>
      </c>
      <c r="R26" s="6">
        <f t="shared" si="32"/>
        <v>1</v>
      </c>
      <c r="S26" s="6">
        <f t="shared" si="32"/>
        <v>0</v>
      </c>
      <c r="T26" s="6">
        <f t="shared" si="32"/>
        <v>1</v>
      </c>
      <c r="U26" s="6">
        <f t="shared" si="32"/>
        <v>1</v>
      </c>
      <c r="V26" s="6" t="str">
        <f t="shared" si="32"/>
        <v>.</v>
      </c>
      <c r="W26" s="6">
        <f t="shared" si="32"/>
        <v>0</v>
      </c>
      <c r="X26" s="6">
        <f t="shared" si="32"/>
        <v>1</v>
      </c>
      <c r="Y26" s="6">
        <f t="shared" si="32"/>
        <v>1</v>
      </c>
      <c r="Z26" s="6">
        <f t="shared" si="32"/>
        <v>1</v>
      </c>
      <c r="AC26" s="7" t="s">
        <v>47</v>
      </c>
      <c r="AD26" s="7" t="s">
        <v>56</v>
      </c>
      <c r="AE26" s="6">
        <f>C6</f>
        <v>30135</v>
      </c>
    </row>
    <row r="27" spans="4:33" x14ac:dyDescent="0.45">
      <c r="H27">
        <f>IF(H24+H25+H26=2,0,IF(OR(H24+H25+H26=1,H24+H25+H26=3),1,0))</f>
        <v>1</v>
      </c>
      <c r="I27">
        <f t="shared" ref="I27" si="33">IF(I24+I25+I26=2,0,IF(OR(I24+I25+I26=1,I24+I25+I26=3),1,0))</f>
        <v>1</v>
      </c>
      <c r="J27">
        <f>IF(J24+J25+J26=2,0,IF(OR(J24+J25+J26=1,J24+J25+J26=3),1,0))</f>
        <v>0</v>
      </c>
      <c r="K27">
        <f t="shared" ref="K27" si="34">IF(K24+K25+K26=2,0,IF(OR(K24+K25+K26=1,K24+K25+K26=3),1,0))</f>
        <v>0</v>
      </c>
      <c r="L27" t="s">
        <v>42</v>
      </c>
      <c r="M27">
        <f t="shared" ref="M27" si="35">IF(M24+M25+M26=2,0,IF(OR(M24+M25+M26=1,M24+M25+M26=3),1,0))</f>
        <v>0</v>
      </c>
      <c r="N27">
        <f t="shared" ref="N27" si="36">IF(N24+N25+N26=2,0,IF(OR(N24+N25+N26=1,N24+N25+N26=3),1,0))</f>
        <v>0</v>
      </c>
      <c r="O27">
        <f t="shared" ref="O27" si="37">IF(O24+O25+O26=2,0,IF(OR(O24+O25+O26=1,O24+O25+O26=3),1,0))</f>
        <v>0</v>
      </c>
      <c r="P27">
        <f t="shared" ref="P27" si="38">IF(P24+P25+P26=2,0,IF(OR(P24+P25+P26=1,P24+P25+P26=3),1,0))</f>
        <v>0</v>
      </c>
      <c r="Q27" t="s">
        <v>42</v>
      </c>
      <c r="R27">
        <f t="shared" ref="R27" si="39">IF(R24+R25+R26=2,0,IF(OR(R24+R25+R26=1,R24+R25+R26=3),1,0))</f>
        <v>1</v>
      </c>
      <c r="S27">
        <f t="shared" ref="S27" si="40">IF(S24+S25+S26=2,0,IF(OR(S24+S25+S26=1,S24+S25+S26=3),1,0))</f>
        <v>1</v>
      </c>
      <c r="T27">
        <f t="shared" ref="T27" si="41">IF(T24+T25+T26=2,0,IF(OR(T24+T25+T26=1,T24+T25+T26=3),1,0))</f>
        <v>0</v>
      </c>
      <c r="U27">
        <f t="shared" ref="U27" si="42">IF(U24+U25+U26=2,0,IF(OR(U24+U25+U26=1,U24+U25+U26=3),1,0))</f>
        <v>0</v>
      </c>
      <c r="V27" t="s">
        <v>42</v>
      </c>
      <c r="W27">
        <f t="shared" ref="W27" si="43">IF(W24+W25+W26=2,0,IF(OR(W24+W25+W26=1,W24+W25+W26=3),1,0))</f>
        <v>1</v>
      </c>
      <c r="X27">
        <f>IF(X24+X25+X26=2,0,IF(OR(X24+X25+X26=1,X24+X25+X26=3),1,0))</f>
        <v>0</v>
      </c>
      <c r="Y27">
        <f t="shared" ref="Y27" si="44">IF(Y24+Y25+Y26=2,0,IF(OR(Y24+Y25+Y26=1,Y24+Y25+Y26=3),1,0))</f>
        <v>0</v>
      </c>
      <c r="Z27">
        <f t="shared" ref="Z27" si="45">IF(Z24+Z25+Z26=2,0,IF(OR(Z24+Z25+Z26=1,Z24+Z25+Z26=3),1,0))</f>
        <v>0</v>
      </c>
      <c r="AA27" t="s">
        <v>53</v>
      </c>
      <c r="AB27">
        <f>-BIN2DEC(_xlfn.NUMBERVALUE(H27))*2^15+BIN2DEC(_xlfn.NUMBERVALUE(I27&amp;J27&amp;K27&amp;M27&amp;N27&amp;O27&amp;P27))*2^8+BIN2DEC(_xlfn.NUMBERVALUE(R27&amp;S27&amp;T27&amp;U27&amp;W27&amp;X27&amp;Y27&amp;Z27))</f>
        <v>-16184</v>
      </c>
      <c r="AE27">
        <f t="shared" ref="AE27" si="46">AE25+AE26</f>
        <v>49352</v>
      </c>
    </row>
    <row r="29" spans="4:33" x14ac:dyDescent="0.45">
      <c r="G29" s="1" t="s">
        <v>62</v>
      </c>
      <c r="H29">
        <f>IF(H24+H25+H26&gt;=2,1,0)</f>
        <v>0</v>
      </c>
      <c r="I29" t="s">
        <v>63</v>
      </c>
      <c r="K29">
        <f>IF(MOD(SUM(R27:U27,W27:Z27),2)=0,1,0)</f>
        <v>0</v>
      </c>
      <c r="M29" t="s">
        <v>64</v>
      </c>
      <c r="O29">
        <f>U24</f>
        <v>0</v>
      </c>
      <c r="P29" t="s">
        <v>65</v>
      </c>
      <c r="R29">
        <f>IF(SUM(H27:K27,M27:P27,R27:U27,W27:Z27)=0,1,0)</f>
        <v>0</v>
      </c>
      <c r="S29" t="s">
        <v>66</v>
      </c>
      <c r="T29">
        <f>H27</f>
        <v>1</v>
      </c>
      <c r="W29" t="s">
        <v>67</v>
      </c>
      <c r="X29">
        <f>IF(_xlfn.BITAND(AE27&gt;=-32768,AE27&lt;=32767),0,1)</f>
        <v>1</v>
      </c>
    </row>
    <row r="31" spans="4:33" x14ac:dyDescent="0.45">
      <c r="G31" s="4"/>
      <c r="H31">
        <f>IF(I31+I32+I33&gt;=2,1,0)</f>
        <v>1</v>
      </c>
      <c r="I31">
        <f>IF(J31+J32+J33&gt;=2,1,0)</f>
        <v>0</v>
      </c>
      <c r="J31">
        <f>IF(K31+K32+K33&gt;=2,1,0)</f>
        <v>1</v>
      </c>
      <c r="K31">
        <f>IF(M31+M32+M33&gt;=2,1,0)</f>
        <v>1</v>
      </c>
      <c r="L31" t="s">
        <v>42</v>
      </c>
      <c r="M31">
        <f>IF(N31+N32+N33&gt;=2,1,0)</f>
        <v>1</v>
      </c>
      <c r="N31">
        <f t="shared" ref="N31" si="47">IF(O31+O32+O33&gt;=2,1,0)</f>
        <v>1</v>
      </c>
      <c r="O31">
        <f>IF(P31+P32+P33&gt;=2,1,0)</f>
        <v>1</v>
      </c>
      <c r="P31">
        <f t="shared" ref="P31" si="48">IF(R31+R32+R33&gt;=2,1,0)</f>
        <v>0</v>
      </c>
      <c r="Q31" t="s">
        <v>42</v>
      </c>
      <c r="R31">
        <f t="shared" ref="R31:T31" si="49">IF(S31+S32+S33&gt;=2,1,0)</f>
        <v>0</v>
      </c>
      <c r="S31">
        <f t="shared" si="49"/>
        <v>0</v>
      </c>
      <c r="T31">
        <f t="shared" si="49"/>
        <v>1</v>
      </c>
      <c r="U31">
        <f t="shared" ref="U31" si="50">IF(W31+W32+W33&gt;=2,1,0)</f>
        <v>0</v>
      </c>
      <c r="V31" t="s">
        <v>42</v>
      </c>
      <c r="W31">
        <f t="shared" ref="W31:Y31" si="51">IF(X31+X32+X33&gt;=2,1,0)</f>
        <v>0</v>
      </c>
      <c r="X31">
        <f t="shared" si="51"/>
        <v>0</v>
      </c>
      <c r="Y31">
        <f t="shared" si="51"/>
        <v>0</v>
      </c>
      <c r="Z31">
        <f t="shared" ref="Z31" si="52">IF(AB31+AB32+AB33&gt;=2,1,0)</f>
        <v>0</v>
      </c>
    </row>
    <row r="32" spans="4:33" x14ac:dyDescent="0.45">
      <c r="E32" s="1" t="s">
        <v>46</v>
      </c>
      <c r="H32">
        <f>H5</f>
        <v>0</v>
      </c>
      <c r="I32">
        <f t="shared" ref="I32:Z32" si="53">I5</f>
        <v>1</v>
      </c>
      <c r="J32">
        <f t="shared" si="53"/>
        <v>0</v>
      </c>
      <c r="K32">
        <f t="shared" si="53"/>
        <v>0</v>
      </c>
      <c r="L32" t="str">
        <f t="shared" si="53"/>
        <v>.</v>
      </c>
      <c r="M32">
        <f t="shared" si="53"/>
        <v>1</v>
      </c>
      <c r="N32">
        <f t="shared" si="53"/>
        <v>0</v>
      </c>
      <c r="O32">
        <f t="shared" si="53"/>
        <v>1</v>
      </c>
      <c r="P32">
        <f t="shared" si="53"/>
        <v>1</v>
      </c>
      <c r="Q32" t="str">
        <f t="shared" si="53"/>
        <v>.</v>
      </c>
      <c r="R32">
        <f t="shared" si="53"/>
        <v>0</v>
      </c>
      <c r="S32">
        <f t="shared" si="53"/>
        <v>0</v>
      </c>
      <c r="T32">
        <f t="shared" si="53"/>
        <v>0</v>
      </c>
      <c r="U32">
        <f t="shared" si="53"/>
        <v>1</v>
      </c>
      <c r="V32" t="str">
        <f t="shared" si="53"/>
        <v>.</v>
      </c>
      <c r="W32">
        <f t="shared" si="53"/>
        <v>0</v>
      </c>
      <c r="X32">
        <f t="shared" si="53"/>
        <v>0</v>
      </c>
      <c r="Y32">
        <f t="shared" si="53"/>
        <v>0</v>
      </c>
      <c r="Z32">
        <f t="shared" si="53"/>
        <v>1</v>
      </c>
      <c r="AD32" s="1" t="s">
        <v>55</v>
      </c>
      <c r="AE32">
        <f>C5</f>
        <v>19217</v>
      </c>
    </row>
    <row r="33" spans="4:33" x14ac:dyDescent="0.45">
      <c r="D33" s="6" t="s">
        <v>47</v>
      </c>
      <c r="E33" s="7" t="s">
        <v>49</v>
      </c>
      <c r="F33" s="6"/>
      <c r="G33" s="6"/>
      <c r="H33" s="6">
        <f>H10</f>
        <v>1</v>
      </c>
      <c r="I33" s="6">
        <f t="shared" ref="I33:Z33" si="54">I10</f>
        <v>1</v>
      </c>
      <c r="J33" s="6">
        <f t="shared" si="54"/>
        <v>0</v>
      </c>
      <c r="K33" s="6">
        <f t="shared" si="54"/>
        <v>1</v>
      </c>
      <c r="L33" s="6" t="str">
        <f t="shared" si="54"/>
        <v>.</v>
      </c>
      <c r="M33" s="6">
        <f t="shared" si="54"/>
        <v>0</v>
      </c>
      <c r="N33" s="6">
        <f t="shared" si="54"/>
        <v>1</v>
      </c>
      <c r="O33" s="6">
        <f t="shared" si="54"/>
        <v>0</v>
      </c>
      <c r="P33" s="6">
        <f t="shared" si="54"/>
        <v>1</v>
      </c>
      <c r="Q33" s="6" t="str">
        <f t="shared" si="54"/>
        <v>.</v>
      </c>
      <c r="R33" s="6">
        <f t="shared" si="54"/>
        <v>0</v>
      </c>
      <c r="S33" s="6">
        <f t="shared" si="54"/>
        <v>1</v>
      </c>
      <c r="T33" s="6">
        <f t="shared" si="54"/>
        <v>0</v>
      </c>
      <c r="U33" s="6">
        <f t="shared" si="54"/>
        <v>1</v>
      </c>
      <c r="V33" s="6" t="str">
        <f t="shared" si="54"/>
        <v>.</v>
      </c>
      <c r="W33" s="6">
        <f t="shared" si="54"/>
        <v>1</v>
      </c>
      <c r="X33" s="6">
        <f t="shared" si="54"/>
        <v>0</v>
      </c>
      <c r="Y33" s="6">
        <f t="shared" si="54"/>
        <v>1</v>
      </c>
      <c r="Z33" s="6">
        <f t="shared" si="54"/>
        <v>0</v>
      </c>
      <c r="AC33" s="7" t="s">
        <v>47</v>
      </c>
      <c r="AD33" s="7" t="s">
        <v>57</v>
      </c>
      <c r="AE33" s="6">
        <f>C10</f>
        <v>-10918</v>
      </c>
      <c r="AG33" t="s">
        <v>69</v>
      </c>
    </row>
    <row r="34" spans="4:33" x14ac:dyDescent="0.45">
      <c r="H34">
        <f>IF(H31+H32+H33=2,0,IF(OR(H31+H32+H33=1,H31+H32+H33=3),1,0))</f>
        <v>0</v>
      </c>
      <c r="I34">
        <f t="shared" ref="I34" si="55">IF(I31+I32+I33=2,0,IF(OR(I31+I32+I33=1,I31+I32+I33=3),1,0))</f>
        <v>0</v>
      </c>
      <c r="J34">
        <f>IF(J31+J32+J33=2,0,IF(OR(J31+J32+J33=1,J31+J32+J33=3),1,0))</f>
        <v>1</v>
      </c>
      <c r="K34">
        <f t="shared" ref="K34" si="56">IF(K31+K32+K33=2,0,IF(OR(K31+K32+K33=1,K31+K32+K33=3),1,0))</f>
        <v>0</v>
      </c>
      <c r="L34" t="s">
        <v>42</v>
      </c>
      <c r="M34">
        <f t="shared" ref="M34" si="57">IF(M31+M32+M33=2,0,IF(OR(M31+M32+M33=1,M31+M32+M33=3),1,0))</f>
        <v>0</v>
      </c>
      <c r="N34">
        <f t="shared" ref="N34" si="58">IF(N31+N32+N33=2,0,IF(OR(N31+N32+N33=1,N31+N32+N33=3),1,0))</f>
        <v>0</v>
      </c>
      <c r="O34">
        <f t="shared" ref="O34" si="59">IF(O31+O32+O33=2,0,IF(OR(O31+O32+O33=1,O31+O32+O33=3),1,0))</f>
        <v>0</v>
      </c>
      <c r="P34">
        <f t="shared" ref="P34" si="60">IF(P31+P32+P33=2,0,IF(OR(P31+P32+P33=1,P31+P32+P33=3),1,0))</f>
        <v>0</v>
      </c>
      <c r="Q34" t="s">
        <v>42</v>
      </c>
      <c r="R34">
        <f t="shared" ref="R34" si="61">IF(R31+R32+R33=2,0,IF(OR(R31+R32+R33=1,R31+R32+R33=3),1,0))</f>
        <v>0</v>
      </c>
      <c r="S34">
        <f t="shared" ref="S34" si="62">IF(S31+S32+S33=2,0,IF(OR(S31+S32+S33=1,S31+S32+S33=3),1,0))</f>
        <v>1</v>
      </c>
      <c r="T34">
        <f t="shared" ref="T34" si="63">IF(T31+T32+T33=2,0,IF(OR(T31+T32+T33=1,T31+T32+T33=3),1,0))</f>
        <v>1</v>
      </c>
      <c r="U34">
        <f t="shared" ref="U34" si="64">IF(U31+U32+U33=2,0,IF(OR(U31+U32+U33=1,U31+U32+U33=3),1,0))</f>
        <v>0</v>
      </c>
      <c r="V34" t="s">
        <v>42</v>
      </c>
      <c r="W34">
        <f t="shared" ref="W34" si="65">IF(W31+W32+W33=2,0,IF(OR(W31+W32+W33=1,W31+W32+W33=3),1,0))</f>
        <v>1</v>
      </c>
      <c r="X34">
        <f>IF(X31+X32+X33=2,0,IF(OR(X31+X32+X33=1,X31+X32+X33=3),1,0))</f>
        <v>0</v>
      </c>
      <c r="Y34">
        <f t="shared" ref="Y34" si="66">IF(Y31+Y32+Y33=2,0,IF(OR(Y31+Y32+Y33=1,Y31+Y32+Y33=3),1,0))</f>
        <v>1</v>
      </c>
      <c r="Z34">
        <f t="shared" ref="Z34" si="67">IF(Z31+Z32+Z33=2,0,IF(OR(Z31+Z32+Z33=1,Z31+Z32+Z33=3),1,0))</f>
        <v>1</v>
      </c>
      <c r="AA34" t="s">
        <v>53</v>
      </c>
      <c r="AB34">
        <f>-BIN2DEC(_xlfn.NUMBERVALUE(H34))*2^15+BIN2DEC(_xlfn.NUMBERVALUE(I34&amp;J34&amp;K34&amp;M34&amp;N34&amp;O34&amp;P34))*2^8+BIN2DEC(_xlfn.NUMBERVALUE(R34&amp;S34&amp;T34&amp;U34&amp;W34&amp;X34&amp;Y34&amp;Z34))</f>
        <v>8299</v>
      </c>
      <c r="AE34">
        <f t="shared" ref="AE34" si="68">AE32+AE33</f>
        <v>8299</v>
      </c>
    </row>
    <row r="36" spans="4:33" x14ac:dyDescent="0.45">
      <c r="G36" s="1" t="s">
        <v>62</v>
      </c>
      <c r="H36">
        <f>IF(H31+H32+H33&gt;=2,1,0)</f>
        <v>1</v>
      </c>
      <c r="I36" t="s">
        <v>63</v>
      </c>
      <c r="K36">
        <f>IF(MOD(SUM(R34:U34,W34:Z34),2)=0,1,0)</f>
        <v>0</v>
      </c>
      <c r="M36" t="s">
        <v>64</v>
      </c>
      <c r="O36">
        <f>U31</f>
        <v>0</v>
      </c>
      <c r="P36" t="s">
        <v>65</v>
      </c>
      <c r="R36">
        <f>IF(SUM(H34:K34,M34:P34,R34:U34,W34:Z34)=0,1,0)</f>
        <v>0</v>
      </c>
      <c r="S36" t="s">
        <v>66</v>
      </c>
      <c r="T36">
        <f>H34</f>
        <v>0</v>
      </c>
      <c r="W36" t="s">
        <v>67</v>
      </c>
      <c r="X36">
        <f>IF(_xlfn.BITAND(AE34&gt;=-32768,AE34&lt;=32767),0,1)</f>
        <v>0</v>
      </c>
    </row>
    <row r="38" spans="4:33" x14ac:dyDescent="0.45">
      <c r="G38" s="4"/>
      <c r="H38">
        <f>IF(I38+I39+I40&gt;=2,1,0)</f>
        <v>1</v>
      </c>
      <c r="I38">
        <f>IF(J38+J39+J40&gt;=2,1,0)</f>
        <v>1</v>
      </c>
      <c r="J38">
        <f>IF(K38+K39+K40&gt;=2,1,0)</f>
        <v>1</v>
      </c>
      <c r="K38">
        <f>IF(M38+M39+M40&gt;=2,1,0)</f>
        <v>0</v>
      </c>
      <c r="L38" t="s">
        <v>42</v>
      </c>
      <c r="M38">
        <f>IF(N38+N39+N40&gt;=2,1,0)</f>
        <v>1</v>
      </c>
      <c r="N38">
        <f t="shared" ref="N38" si="69">IF(O38+O39+O40&gt;=2,1,0)</f>
        <v>0</v>
      </c>
      <c r="O38">
        <f>IF(P38+P39+P40&gt;=2,1,0)</f>
        <v>1</v>
      </c>
      <c r="P38">
        <f t="shared" ref="P38" si="70">IF(R38+R39+R40&gt;=2,1,0)</f>
        <v>1</v>
      </c>
      <c r="Q38" t="s">
        <v>42</v>
      </c>
      <c r="R38">
        <f t="shared" ref="R38:T38" si="71">IF(S38+S39+S40&gt;=2,1,0)</f>
        <v>1</v>
      </c>
      <c r="S38">
        <f t="shared" si="71"/>
        <v>1</v>
      </c>
      <c r="T38">
        <f t="shared" si="71"/>
        <v>1</v>
      </c>
      <c r="U38">
        <f t="shared" ref="U38" si="72">IF(W38+W39+W40&gt;=2,1,0)</f>
        <v>1</v>
      </c>
      <c r="V38" t="s">
        <v>42</v>
      </c>
      <c r="W38">
        <f t="shared" ref="W38:Y38" si="73">IF(X38+X39+X40&gt;=2,1,0)</f>
        <v>1</v>
      </c>
      <c r="X38">
        <f t="shared" si="73"/>
        <v>1</v>
      </c>
      <c r="Y38">
        <f t="shared" si="73"/>
        <v>0</v>
      </c>
      <c r="Z38">
        <f t="shared" ref="Z38" si="74">IF(AB38+AB39+AB40&gt;=2,1,0)</f>
        <v>0</v>
      </c>
    </row>
    <row r="39" spans="4:33" x14ac:dyDescent="0.45">
      <c r="E39" s="1" t="s">
        <v>49</v>
      </c>
      <c r="H39">
        <f>H10</f>
        <v>1</v>
      </c>
      <c r="I39">
        <f t="shared" ref="I39:Z39" si="75">I10</f>
        <v>1</v>
      </c>
      <c r="J39">
        <f t="shared" si="75"/>
        <v>0</v>
      </c>
      <c r="K39">
        <f t="shared" si="75"/>
        <v>1</v>
      </c>
      <c r="L39" t="str">
        <f t="shared" si="75"/>
        <v>.</v>
      </c>
      <c r="M39">
        <f t="shared" si="75"/>
        <v>0</v>
      </c>
      <c r="N39">
        <f t="shared" si="75"/>
        <v>1</v>
      </c>
      <c r="O39">
        <f t="shared" si="75"/>
        <v>0</v>
      </c>
      <c r="P39">
        <f t="shared" si="75"/>
        <v>1</v>
      </c>
      <c r="Q39" t="str">
        <f t="shared" si="75"/>
        <v>.</v>
      </c>
      <c r="R39">
        <f t="shared" si="75"/>
        <v>0</v>
      </c>
      <c r="S39">
        <f t="shared" si="75"/>
        <v>1</v>
      </c>
      <c r="T39">
        <f t="shared" si="75"/>
        <v>0</v>
      </c>
      <c r="U39">
        <f t="shared" si="75"/>
        <v>1</v>
      </c>
      <c r="V39" t="str">
        <f t="shared" si="75"/>
        <v>.</v>
      </c>
      <c r="W39">
        <f t="shared" si="75"/>
        <v>1</v>
      </c>
      <c r="X39">
        <f t="shared" si="75"/>
        <v>0</v>
      </c>
      <c r="Y39">
        <f t="shared" si="75"/>
        <v>1</v>
      </c>
      <c r="Z39">
        <f t="shared" si="75"/>
        <v>0</v>
      </c>
      <c r="AD39" s="1" t="s">
        <v>57</v>
      </c>
      <c r="AE39">
        <f>C10</f>
        <v>-10918</v>
      </c>
    </row>
    <row r="40" spans="4:33" x14ac:dyDescent="0.45">
      <c r="D40" s="6" t="s">
        <v>47</v>
      </c>
      <c r="E40" s="7" t="s">
        <v>50</v>
      </c>
      <c r="F40" s="6"/>
      <c r="G40" s="6"/>
      <c r="H40" s="6">
        <f>H11</f>
        <v>1</v>
      </c>
      <c r="I40" s="6">
        <f t="shared" ref="I40:Z40" si="76">I11</f>
        <v>0</v>
      </c>
      <c r="J40" s="6">
        <f t="shared" si="76"/>
        <v>1</v>
      </c>
      <c r="K40" s="6">
        <f t="shared" si="76"/>
        <v>1</v>
      </c>
      <c r="L40" s="6" t="str">
        <f t="shared" si="76"/>
        <v>.</v>
      </c>
      <c r="M40" s="6">
        <f t="shared" si="76"/>
        <v>0</v>
      </c>
      <c r="N40" s="6">
        <f t="shared" si="76"/>
        <v>1</v>
      </c>
      <c r="O40" s="6">
        <f t="shared" si="76"/>
        <v>0</v>
      </c>
      <c r="P40" s="6">
        <f t="shared" si="76"/>
        <v>0</v>
      </c>
      <c r="Q40" s="6" t="str">
        <f t="shared" si="76"/>
        <v>.</v>
      </c>
      <c r="R40" s="6">
        <f t="shared" si="76"/>
        <v>1</v>
      </c>
      <c r="S40" s="6">
        <f t="shared" si="76"/>
        <v>1</v>
      </c>
      <c r="T40" s="6">
        <f t="shared" si="76"/>
        <v>1</v>
      </c>
      <c r="U40" s="6">
        <f t="shared" si="76"/>
        <v>0</v>
      </c>
      <c r="V40" s="6" t="str">
        <f t="shared" si="76"/>
        <v>.</v>
      </c>
      <c r="W40" s="6">
        <f t="shared" si="76"/>
        <v>1</v>
      </c>
      <c r="X40" s="6">
        <f t="shared" si="76"/>
        <v>1</v>
      </c>
      <c r="Y40" s="6">
        <f t="shared" si="76"/>
        <v>1</v>
      </c>
      <c r="Z40" s="6">
        <f t="shared" si="76"/>
        <v>1</v>
      </c>
      <c r="AC40" s="7" t="s">
        <v>47</v>
      </c>
      <c r="AD40" s="7" t="s">
        <v>58</v>
      </c>
      <c r="AE40" s="6">
        <f>C11</f>
        <v>-19217</v>
      </c>
      <c r="AG40" t="s">
        <v>69</v>
      </c>
    </row>
    <row r="41" spans="4:33" x14ac:dyDescent="0.45">
      <c r="H41">
        <f>IF(H38+H39+H40=2,0,IF(OR(H38+H39+H40=1,H38+H39+H40=3),1,0))</f>
        <v>1</v>
      </c>
      <c r="I41">
        <f t="shared" ref="I41" si="77">IF(I38+I39+I40=2,0,IF(OR(I38+I39+I40=1,I38+I39+I40=3),1,0))</f>
        <v>0</v>
      </c>
      <c r="J41">
        <f>IF(J38+J39+J40=2,0,IF(OR(J38+J39+J40=1,J38+J39+J40=3),1,0))</f>
        <v>0</v>
      </c>
      <c r="K41">
        <f t="shared" ref="K41" si="78">IF(K38+K39+K40=2,0,IF(OR(K38+K39+K40=1,K38+K39+K40=3),1,0))</f>
        <v>0</v>
      </c>
      <c r="L41" t="s">
        <v>42</v>
      </c>
      <c r="M41">
        <f t="shared" ref="M41" si="79">IF(M38+M39+M40=2,0,IF(OR(M38+M39+M40=1,M38+M39+M40=3),1,0))</f>
        <v>1</v>
      </c>
      <c r="N41">
        <f t="shared" ref="N41" si="80">IF(N38+N39+N40=2,0,IF(OR(N38+N39+N40=1,N38+N39+N40=3),1,0))</f>
        <v>0</v>
      </c>
      <c r="O41">
        <f t="shared" ref="O41" si="81">IF(O38+O39+O40=2,0,IF(OR(O38+O39+O40=1,O38+O39+O40=3),1,0))</f>
        <v>1</v>
      </c>
      <c r="P41">
        <f t="shared" ref="P41" si="82">IF(P38+P39+P40=2,0,IF(OR(P38+P39+P40=1,P38+P39+P40=3),1,0))</f>
        <v>0</v>
      </c>
      <c r="Q41" t="s">
        <v>42</v>
      </c>
      <c r="R41">
        <f t="shared" ref="R41" si="83">IF(R38+R39+R40=2,0,IF(OR(R38+R39+R40=1,R38+R39+R40=3),1,0))</f>
        <v>0</v>
      </c>
      <c r="S41">
        <f t="shared" ref="S41" si="84">IF(S38+S39+S40=2,0,IF(OR(S38+S39+S40=1,S38+S39+S40=3),1,0))</f>
        <v>1</v>
      </c>
      <c r="T41">
        <f t="shared" ref="T41" si="85">IF(T38+T39+T40=2,0,IF(OR(T38+T39+T40=1,T38+T39+T40=3),1,0))</f>
        <v>0</v>
      </c>
      <c r="U41">
        <f t="shared" ref="U41" si="86">IF(U38+U39+U40=2,0,IF(OR(U38+U39+U40=1,U38+U39+U40=3),1,0))</f>
        <v>0</v>
      </c>
      <c r="V41" t="s">
        <v>42</v>
      </c>
      <c r="W41">
        <f t="shared" ref="W41" si="87">IF(W38+W39+W40=2,0,IF(OR(W38+W39+W40=1,W38+W39+W40=3),1,0))</f>
        <v>1</v>
      </c>
      <c r="X41">
        <f>IF(X38+X39+X40=2,0,IF(OR(X38+X39+X40=1,X38+X39+X40=3),1,0))</f>
        <v>0</v>
      </c>
      <c r="Y41">
        <f t="shared" ref="Y41" si="88">IF(Y38+Y39+Y40=2,0,IF(OR(Y38+Y39+Y40=1,Y38+Y39+Y40=3),1,0))</f>
        <v>0</v>
      </c>
      <c r="Z41">
        <f t="shared" ref="Z41" si="89">IF(Z38+Z39+Z40=2,0,IF(OR(Z38+Z39+Z40=1,Z38+Z39+Z40=3),1,0))</f>
        <v>1</v>
      </c>
      <c r="AA41" t="s">
        <v>53</v>
      </c>
      <c r="AB41">
        <f>-BIN2DEC(_xlfn.NUMBERVALUE(H41))*2^15+BIN2DEC(_xlfn.NUMBERVALUE(I41&amp;J41&amp;K41&amp;M41&amp;N41&amp;O41&amp;P41))*2^8+BIN2DEC(_xlfn.NUMBERVALUE(R41&amp;S41&amp;T41&amp;U41&amp;W41&amp;X41&amp;Y41&amp;Z41))</f>
        <v>-30135</v>
      </c>
      <c r="AE41">
        <f t="shared" ref="AE41" si="90">AE39+AE40</f>
        <v>-30135</v>
      </c>
    </row>
    <row r="43" spans="4:33" x14ac:dyDescent="0.45">
      <c r="G43" s="1" t="s">
        <v>62</v>
      </c>
      <c r="H43">
        <f>IF(H38+H39+H40&gt;=2,1,0)</f>
        <v>1</v>
      </c>
      <c r="I43" t="s">
        <v>63</v>
      </c>
      <c r="K43">
        <f>IF(MOD(SUM(R41:U41,W41:Z41),2)=0,1,0)</f>
        <v>0</v>
      </c>
      <c r="M43" t="s">
        <v>64</v>
      </c>
      <c r="O43">
        <f>U38</f>
        <v>1</v>
      </c>
      <c r="P43" t="s">
        <v>65</v>
      </c>
      <c r="R43">
        <f>IF(SUM(H41:K41,M41:P41,R41:U41,W41:Z41)=0,1,0)</f>
        <v>0</v>
      </c>
      <c r="S43" t="s">
        <v>66</v>
      </c>
      <c r="T43">
        <f>H41</f>
        <v>1</v>
      </c>
      <c r="W43" t="s">
        <v>67</v>
      </c>
      <c r="X43">
        <f>IF(_xlfn.BITAND(AE41&gt;=-32768,AE41&lt;=32767),0,1)</f>
        <v>0</v>
      </c>
    </row>
    <row r="45" spans="4:33" x14ac:dyDescent="0.45">
      <c r="G45" s="4"/>
      <c r="H45">
        <f>IF(I45+I46+I47&gt;=2,1,0)</f>
        <v>0</v>
      </c>
      <c r="I45">
        <f>IF(J45+J46+J47&gt;=2,1,0)</f>
        <v>0</v>
      </c>
      <c r="J45">
        <f>IF(K45+K46+K47&gt;=2,1,0)</f>
        <v>0</v>
      </c>
      <c r="K45">
        <f>IF(M45+M46+M47&gt;=2,1,0)</f>
        <v>0</v>
      </c>
      <c r="L45" t="s">
        <v>42</v>
      </c>
      <c r="M45">
        <f>IF(N45+N46+N47&gt;=2,1,0)</f>
        <v>0</v>
      </c>
      <c r="N45">
        <f t="shared" ref="N45" si="91">IF(O45+O46+O47&gt;=2,1,0)</f>
        <v>0</v>
      </c>
      <c r="O45">
        <f>IF(P45+P46+P47&gt;=2,1,0)</f>
        <v>0</v>
      </c>
      <c r="P45">
        <f t="shared" ref="P45" si="92">IF(R45+R46+R47&gt;=2,1,0)</f>
        <v>1</v>
      </c>
      <c r="Q45" t="s">
        <v>42</v>
      </c>
      <c r="R45">
        <f t="shared" ref="R45:T45" si="93">IF(S45+S46+S47&gt;=2,1,0)</f>
        <v>1</v>
      </c>
      <c r="S45">
        <f t="shared" si="93"/>
        <v>0</v>
      </c>
      <c r="T45">
        <f t="shared" si="93"/>
        <v>0</v>
      </c>
      <c r="U45">
        <f t="shared" ref="U45" si="94">IF(W45+W46+W47&gt;=2,1,0)</f>
        <v>1</v>
      </c>
      <c r="V45" t="s">
        <v>42</v>
      </c>
      <c r="W45">
        <f t="shared" ref="W45:Y45" si="95">IF(X45+X46+X47&gt;=2,1,0)</f>
        <v>1</v>
      </c>
      <c r="X45">
        <f t="shared" si="95"/>
        <v>1</v>
      </c>
      <c r="Y45">
        <f t="shared" si="95"/>
        <v>1</v>
      </c>
      <c r="Z45">
        <f t="shared" ref="Z45" si="96">IF(AB45+AB46+AB47&gt;=2,1,0)</f>
        <v>0</v>
      </c>
    </row>
    <row r="46" spans="4:33" x14ac:dyDescent="0.45">
      <c r="E46" s="1" t="s">
        <v>50</v>
      </c>
      <c r="H46">
        <f>H11</f>
        <v>1</v>
      </c>
      <c r="I46">
        <f t="shared" ref="I46:Z46" si="97">I11</f>
        <v>0</v>
      </c>
      <c r="J46">
        <f t="shared" si="97"/>
        <v>1</v>
      </c>
      <c r="K46">
        <f t="shared" si="97"/>
        <v>1</v>
      </c>
      <c r="L46" t="str">
        <f t="shared" si="97"/>
        <v>.</v>
      </c>
      <c r="M46">
        <f t="shared" si="97"/>
        <v>0</v>
      </c>
      <c r="N46">
        <f t="shared" si="97"/>
        <v>1</v>
      </c>
      <c r="O46">
        <f t="shared" si="97"/>
        <v>0</v>
      </c>
      <c r="P46">
        <f t="shared" si="97"/>
        <v>0</v>
      </c>
      <c r="Q46" t="str">
        <f t="shared" si="97"/>
        <v>.</v>
      </c>
      <c r="R46">
        <f t="shared" si="97"/>
        <v>1</v>
      </c>
      <c r="S46">
        <f t="shared" si="97"/>
        <v>1</v>
      </c>
      <c r="T46">
        <f t="shared" si="97"/>
        <v>1</v>
      </c>
      <c r="U46">
        <f t="shared" si="97"/>
        <v>0</v>
      </c>
      <c r="V46" t="str">
        <f t="shared" si="97"/>
        <v>.</v>
      </c>
      <c r="W46">
        <f t="shared" si="97"/>
        <v>1</v>
      </c>
      <c r="X46">
        <f t="shared" si="97"/>
        <v>1</v>
      </c>
      <c r="Y46">
        <f t="shared" si="97"/>
        <v>1</v>
      </c>
      <c r="Z46">
        <f t="shared" si="97"/>
        <v>1</v>
      </c>
      <c r="AD46" s="1" t="s">
        <v>58</v>
      </c>
      <c r="AE46">
        <f>C11</f>
        <v>-19217</v>
      </c>
    </row>
    <row r="47" spans="4:33" x14ac:dyDescent="0.45">
      <c r="D47" s="6" t="s">
        <v>47</v>
      </c>
      <c r="E47" s="7" t="s">
        <v>51</v>
      </c>
      <c r="F47" s="6"/>
      <c r="G47" s="6"/>
      <c r="H47" s="6">
        <f>H12</f>
        <v>1</v>
      </c>
      <c r="I47" s="6">
        <f t="shared" ref="I47:Z47" si="98">I12</f>
        <v>0</v>
      </c>
      <c r="J47" s="6">
        <f t="shared" si="98"/>
        <v>0</v>
      </c>
      <c r="K47" s="6">
        <f t="shared" si="98"/>
        <v>0</v>
      </c>
      <c r="L47" s="6" t="str">
        <f t="shared" si="98"/>
        <v>.</v>
      </c>
      <c r="M47" s="6">
        <f t="shared" si="98"/>
        <v>1</v>
      </c>
      <c r="N47" s="6">
        <f t="shared" si="98"/>
        <v>0</v>
      </c>
      <c r="O47" s="6">
        <f t="shared" si="98"/>
        <v>1</v>
      </c>
      <c r="P47" s="6">
        <f t="shared" si="98"/>
        <v>0</v>
      </c>
      <c r="Q47" s="6" t="str">
        <f t="shared" si="98"/>
        <v>.</v>
      </c>
      <c r="R47" s="6">
        <f t="shared" si="98"/>
        <v>0</v>
      </c>
      <c r="S47" s="6">
        <f t="shared" si="98"/>
        <v>1</v>
      </c>
      <c r="T47" s="6">
        <f t="shared" si="98"/>
        <v>0</v>
      </c>
      <c r="U47" s="6">
        <f t="shared" si="98"/>
        <v>0</v>
      </c>
      <c r="V47" s="6" t="str">
        <f t="shared" si="98"/>
        <v>.</v>
      </c>
      <c r="W47" s="6">
        <f t="shared" si="98"/>
        <v>1</v>
      </c>
      <c r="X47" s="6">
        <f t="shared" si="98"/>
        <v>0</v>
      </c>
      <c r="Y47" s="6">
        <f t="shared" si="98"/>
        <v>0</v>
      </c>
      <c r="Z47" s="6">
        <f t="shared" si="98"/>
        <v>1</v>
      </c>
      <c r="AC47" s="7" t="s">
        <v>47</v>
      </c>
      <c r="AD47" s="7" t="s">
        <v>59</v>
      </c>
      <c r="AE47" s="6">
        <f>C12</f>
        <v>-30135</v>
      </c>
      <c r="AG47" t="s">
        <v>70</v>
      </c>
    </row>
    <row r="48" spans="4:33" x14ac:dyDescent="0.45">
      <c r="H48">
        <f>IF(H45+H46+H47=2,0,IF(OR(H45+H46+H47=1,H45+H46+H47=3),1,0))</f>
        <v>0</v>
      </c>
      <c r="I48">
        <f t="shared" ref="I48" si="99">IF(I45+I46+I47=2,0,IF(OR(I45+I46+I47=1,I45+I46+I47=3),1,0))</f>
        <v>0</v>
      </c>
      <c r="J48">
        <f>IF(J45+J46+J47=2,0,IF(OR(J45+J46+J47=1,J45+J46+J47=3),1,0))</f>
        <v>1</v>
      </c>
      <c r="K48">
        <f t="shared" ref="K48" si="100">IF(K45+K46+K47=2,0,IF(OR(K45+K46+K47=1,K45+K46+K47=3),1,0))</f>
        <v>1</v>
      </c>
      <c r="L48" t="s">
        <v>42</v>
      </c>
      <c r="M48">
        <f t="shared" ref="M48" si="101">IF(M45+M46+M47=2,0,IF(OR(M45+M46+M47=1,M45+M46+M47=3),1,0))</f>
        <v>1</v>
      </c>
      <c r="N48">
        <f t="shared" ref="N48" si="102">IF(N45+N46+N47=2,0,IF(OR(N45+N46+N47=1,N45+N46+N47=3),1,0))</f>
        <v>1</v>
      </c>
      <c r="O48">
        <f t="shared" ref="O48" si="103">IF(O45+O46+O47=2,0,IF(OR(O45+O46+O47=1,O45+O46+O47=3),1,0))</f>
        <v>1</v>
      </c>
      <c r="P48">
        <f t="shared" ref="P48" si="104">IF(P45+P46+P47=2,0,IF(OR(P45+P46+P47=1,P45+P46+P47=3),1,0))</f>
        <v>1</v>
      </c>
      <c r="Q48" t="s">
        <v>42</v>
      </c>
      <c r="R48">
        <f t="shared" ref="R48" si="105">IF(R45+R46+R47=2,0,IF(OR(R45+R46+R47=1,R45+R46+R47=3),1,0))</f>
        <v>0</v>
      </c>
      <c r="S48">
        <f t="shared" ref="S48" si="106">IF(S45+S46+S47=2,0,IF(OR(S45+S46+S47=1,S45+S46+S47=3),1,0))</f>
        <v>0</v>
      </c>
      <c r="T48">
        <f t="shared" ref="T48" si="107">IF(T45+T46+T47=2,0,IF(OR(T45+T46+T47=1,T45+T46+T47=3),1,0))</f>
        <v>1</v>
      </c>
      <c r="U48">
        <f t="shared" ref="U48" si="108">IF(U45+U46+U47=2,0,IF(OR(U45+U46+U47=1,U45+U46+U47=3),1,0))</f>
        <v>1</v>
      </c>
      <c r="V48" t="s">
        <v>42</v>
      </c>
      <c r="W48">
        <f t="shared" ref="W48" si="109">IF(W45+W46+W47=2,0,IF(OR(W45+W46+W47=1,W45+W46+W47=3),1,0))</f>
        <v>1</v>
      </c>
      <c r="X48">
        <f>IF(X45+X46+X47=2,0,IF(OR(X45+X46+X47=1,X45+X46+X47=3),1,0))</f>
        <v>0</v>
      </c>
      <c r="Y48">
        <f t="shared" ref="Y48" si="110">IF(Y45+Y46+Y47=2,0,IF(OR(Y45+Y46+Y47=1,Y45+Y46+Y47=3),1,0))</f>
        <v>0</v>
      </c>
      <c r="Z48">
        <f t="shared" ref="Z48" si="111">IF(Z45+Z46+Z47=2,0,IF(OR(Z45+Z46+Z47=1,Z45+Z46+Z47=3),1,0))</f>
        <v>0</v>
      </c>
      <c r="AA48" t="s">
        <v>53</v>
      </c>
      <c r="AB48">
        <f>-BIN2DEC(_xlfn.NUMBERVALUE(H48))*2^15+BIN2DEC(_xlfn.NUMBERVALUE(I48&amp;J48&amp;K48&amp;M48&amp;N48&amp;O48&amp;P48))*2^8+BIN2DEC(_xlfn.NUMBERVALUE(R48&amp;S48&amp;T48&amp;U48&amp;W48&amp;X48&amp;Y48&amp;Z48))</f>
        <v>16184</v>
      </c>
      <c r="AE48">
        <f t="shared" ref="AE48" si="112">AE46+AE47</f>
        <v>-49352</v>
      </c>
    </row>
    <row r="50" spans="4:33" x14ac:dyDescent="0.45">
      <c r="G50" s="1" t="s">
        <v>62</v>
      </c>
      <c r="H50">
        <f>IF(H45+H46+H47&gt;=2,1,0)</f>
        <v>1</v>
      </c>
      <c r="I50" t="s">
        <v>63</v>
      </c>
      <c r="K50">
        <f>IF(MOD(SUM(R48:U48,W48:Z48),2)=0,1,0)</f>
        <v>0</v>
      </c>
      <c r="M50" t="s">
        <v>64</v>
      </c>
      <c r="O50">
        <f>U45</f>
        <v>1</v>
      </c>
      <c r="P50" t="s">
        <v>65</v>
      </c>
      <c r="R50">
        <f>IF(SUM(H48:K48,M48:P48,R48:U48,W48:Z48)=0,1,0)</f>
        <v>0</v>
      </c>
      <c r="S50" t="s">
        <v>66</v>
      </c>
      <c r="T50">
        <f>H48</f>
        <v>0</v>
      </c>
      <c r="W50" t="s">
        <v>67</v>
      </c>
      <c r="X50">
        <f>IF(_xlfn.BITAND(AE48&gt;=-32768,AE48&lt;=32767),0,1)</f>
        <v>1</v>
      </c>
    </row>
    <row r="52" spans="4:33" x14ac:dyDescent="0.45">
      <c r="G52" s="4"/>
      <c r="H52">
        <f>IF(I52+I53+I54&gt;=2,1,0)</f>
        <v>0</v>
      </c>
      <c r="I52">
        <f>IF(J52+J53+J54&gt;=2,1,0)</f>
        <v>1</v>
      </c>
      <c r="J52">
        <f>IF(K52+K53+K54&gt;=2,1,0)</f>
        <v>0</v>
      </c>
      <c r="K52">
        <f>IF(M52+M53+M54&gt;=2,1,0)</f>
        <v>0</v>
      </c>
      <c r="L52" t="s">
        <v>42</v>
      </c>
      <c r="M52">
        <f>IF(N52+N53+N54&gt;=2,1,0)</f>
        <v>0</v>
      </c>
      <c r="N52">
        <f t="shared" ref="N52" si="113">IF(O52+O53+O54&gt;=2,1,0)</f>
        <v>0</v>
      </c>
      <c r="O52">
        <f>IF(P52+P53+P54&gt;=2,1,0)</f>
        <v>0</v>
      </c>
      <c r="P52">
        <f t="shared" ref="P52" si="114">IF(R52+R53+R54&gt;=2,1,0)</f>
        <v>1</v>
      </c>
      <c r="Q52" t="s">
        <v>42</v>
      </c>
      <c r="R52">
        <f t="shared" ref="R52:T52" si="115">IF(S52+S53+S54&gt;=2,1,0)</f>
        <v>1</v>
      </c>
      <c r="S52">
        <f t="shared" si="115"/>
        <v>1</v>
      </c>
      <c r="T52">
        <f t="shared" si="115"/>
        <v>0</v>
      </c>
      <c r="U52">
        <f t="shared" ref="U52" si="116">IF(W52+W53+W54&gt;=2,1,0)</f>
        <v>1</v>
      </c>
      <c r="V52" t="s">
        <v>42</v>
      </c>
      <c r="W52">
        <f t="shared" ref="W52:Y52" si="117">IF(X52+X53+X54&gt;=2,1,0)</f>
        <v>1</v>
      </c>
      <c r="X52">
        <f t="shared" si="117"/>
        <v>1</v>
      </c>
      <c r="Y52">
        <f t="shared" si="117"/>
        <v>0</v>
      </c>
      <c r="Z52">
        <f t="shared" ref="Z52" si="118">IF(AB52+AB53+AB54&gt;=2,1,0)</f>
        <v>0</v>
      </c>
    </row>
    <row r="53" spans="4:33" x14ac:dyDescent="0.45">
      <c r="E53" s="1" t="s">
        <v>45</v>
      </c>
      <c r="H53">
        <f>H4</f>
        <v>0</v>
      </c>
      <c r="I53">
        <f t="shared" ref="I53:Z53" si="119">I4</f>
        <v>0</v>
      </c>
      <c r="J53">
        <f t="shared" si="119"/>
        <v>1</v>
      </c>
      <c r="K53">
        <f t="shared" si="119"/>
        <v>0</v>
      </c>
      <c r="L53" t="str">
        <f t="shared" si="119"/>
        <v>.</v>
      </c>
      <c r="M53">
        <f t="shared" si="119"/>
        <v>1</v>
      </c>
      <c r="N53">
        <f t="shared" si="119"/>
        <v>0</v>
      </c>
      <c r="O53">
        <f t="shared" si="119"/>
        <v>1</v>
      </c>
      <c r="P53">
        <f t="shared" si="119"/>
        <v>0</v>
      </c>
      <c r="Q53" t="str">
        <f t="shared" si="119"/>
        <v>.</v>
      </c>
      <c r="R53">
        <f t="shared" si="119"/>
        <v>1</v>
      </c>
      <c r="S53">
        <f t="shared" si="119"/>
        <v>0</v>
      </c>
      <c r="T53">
        <f t="shared" si="119"/>
        <v>1</v>
      </c>
      <c r="U53">
        <f t="shared" si="119"/>
        <v>0</v>
      </c>
      <c r="V53" t="str">
        <f t="shared" si="119"/>
        <v>.</v>
      </c>
      <c r="W53">
        <f t="shared" si="119"/>
        <v>0</v>
      </c>
      <c r="X53">
        <f t="shared" si="119"/>
        <v>1</v>
      </c>
      <c r="Y53">
        <f t="shared" si="119"/>
        <v>1</v>
      </c>
      <c r="Z53">
        <f t="shared" si="119"/>
        <v>0</v>
      </c>
      <c r="AD53" s="1" t="s">
        <v>61</v>
      </c>
      <c r="AE53">
        <f>C4</f>
        <v>10918</v>
      </c>
    </row>
    <row r="54" spans="4:33" x14ac:dyDescent="0.45">
      <c r="D54" s="6" t="s">
        <v>47</v>
      </c>
      <c r="E54" s="7" t="s">
        <v>50</v>
      </c>
      <c r="F54" s="6"/>
      <c r="G54" s="6"/>
      <c r="H54" s="6">
        <f>H11</f>
        <v>1</v>
      </c>
      <c r="I54" s="6">
        <f t="shared" ref="I54:Z54" si="120">I11</f>
        <v>0</v>
      </c>
      <c r="J54" s="6">
        <f t="shared" si="120"/>
        <v>1</v>
      </c>
      <c r="K54" s="6">
        <f t="shared" si="120"/>
        <v>1</v>
      </c>
      <c r="L54" s="6" t="str">
        <f t="shared" si="120"/>
        <v>.</v>
      </c>
      <c r="M54" s="6">
        <f t="shared" si="120"/>
        <v>0</v>
      </c>
      <c r="N54" s="6">
        <f t="shared" si="120"/>
        <v>1</v>
      </c>
      <c r="O54" s="6">
        <f t="shared" si="120"/>
        <v>0</v>
      </c>
      <c r="P54" s="6">
        <f t="shared" si="120"/>
        <v>0</v>
      </c>
      <c r="Q54" s="6" t="str">
        <f t="shared" si="120"/>
        <v>.</v>
      </c>
      <c r="R54" s="6">
        <f t="shared" si="120"/>
        <v>1</v>
      </c>
      <c r="S54" s="6">
        <f t="shared" si="120"/>
        <v>1</v>
      </c>
      <c r="T54" s="6">
        <f t="shared" si="120"/>
        <v>1</v>
      </c>
      <c r="U54" s="6">
        <f t="shared" si="120"/>
        <v>0</v>
      </c>
      <c r="V54" s="6" t="str">
        <f t="shared" si="120"/>
        <v>.</v>
      </c>
      <c r="W54" s="6">
        <f t="shared" si="120"/>
        <v>1</v>
      </c>
      <c r="X54" s="6">
        <f t="shared" si="120"/>
        <v>1</v>
      </c>
      <c r="Y54" s="6">
        <f t="shared" si="120"/>
        <v>1</v>
      </c>
      <c r="Z54" s="6">
        <f t="shared" si="120"/>
        <v>1</v>
      </c>
      <c r="AC54" s="7" t="s">
        <v>47</v>
      </c>
      <c r="AD54" s="7" t="s">
        <v>58</v>
      </c>
      <c r="AE54" s="6">
        <f>C11</f>
        <v>-19217</v>
      </c>
      <c r="AG54" t="s">
        <v>71</v>
      </c>
    </row>
    <row r="55" spans="4:33" x14ac:dyDescent="0.45">
      <c r="H55">
        <f>IF(H52+H53+H54=2,0,IF(OR(H52+H53+H54=1,H52+H53+H54=3),1,0))</f>
        <v>1</v>
      </c>
      <c r="I55">
        <f t="shared" ref="I55" si="121">IF(I52+I53+I54=2,0,IF(OR(I52+I53+I54=1,I52+I53+I54=3),1,0))</f>
        <v>1</v>
      </c>
      <c r="J55">
        <f>IF(J52+J53+J54=2,0,IF(OR(J52+J53+J54=1,J52+J53+J54=3),1,0))</f>
        <v>0</v>
      </c>
      <c r="K55">
        <f t="shared" ref="K55" si="122">IF(K52+K53+K54=2,0,IF(OR(K52+K53+K54=1,K52+K53+K54=3),1,0))</f>
        <v>1</v>
      </c>
      <c r="L55" t="s">
        <v>42</v>
      </c>
      <c r="M55">
        <f t="shared" ref="M55" si="123">IF(M52+M53+M54=2,0,IF(OR(M52+M53+M54=1,M52+M53+M54=3),1,0))</f>
        <v>1</v>
      </c>
      <c r="N55">
        <f t="shared" ref="N55" si="124">IF(N52+N53+N54=2,0,IF(OR(N52+N53+N54=1,N52+N53+N54=3),1,0))</f>
        <v>1</v>
      </c>
      <c r="O55">
        <f t="shared" ref="O55" si="125">IF(O52+O53+O54=2,0,IF(OR(O52+O53+O54=1,O52+O53+O54=3),1,0))</f>
        <v>1</v>
      </c>
      <c r="P55">
        <f t="shared" ref="P55" si="126">IF(P52+P53+P54=2,0,IF(OR(P52+P53+P54=1,P52+P53+P54=3),1,0))</f>
        <v>1</v>
      </c>
      <c r="Q55" t="s">
        <v>42</v>
      </c>
      <c r="R55">
        <f t="shared" ref="R55" si="127">IF(R52+R53+R54=2,0,IF(OR(R52+R53+R54=1,R52+R53+R54=3),1,0))</f>
        <v>1</v>
      </c>
      <c r="S55">
        <f t="shared" ref="S55" si="128">IF(S52+S53+S54=2,0,IF(OR(S52+S53+S54=1,S52+S53+S54=3),1,0))</f>
        <v>0</v>
      </c>
      <c r="T55">
        <f t="shared" ref="T55" si="129">IF(T52+T53+T54=2,0,IF(OR(T52+T53+T54=1,T52+T53+T54=3),1,0))</f>
        <v>0</v>
      </c>
      <c r="U55">
        <f t="shared" ref="U55" si="130">IF(U52+U53+U54=2,0,IF(OR(U52+U53+U54=1,U52+U53+U54=3),1,0))</f>
        <v>1</v>
      </c>
      <c r="V55" t="s">
        <v>42</v>
      </c>
      <c r="W55">
        <f t="shared" ref="W55" si="131">IF(W52+W53+W54=2,0,IF(OR(W52+W53+W54=1,W52+W53+W54=3),1,0))</f>
        <v>0</v>
      </c>
      <c r="X55">
        <f>IF(X52+X53+X54=2,0,IF(OR(X52+X53+X54=1,X52+X53+X54=3),1,0))</f>
        <v>1</v>
      </c>
      <c r="Y55">
        <f t="shared" ref="Y55" si="132">IF(Y52+Y53+Y54=2,0,IF(OR(Y52+Y53+Y54=1,Y52+Y53+Y54=3),1,0))</f>
        <v>0</v>
      </c>
      <c r="Z55">
        <f t="shared" ref="Z55" si="133">IF(Z52+Z53+Z54=2,0,IF(OR(Z52+Z53+Z54=1,Z52+Z53+Z54=3),1,0))</f>
        <v>1</v>
      </c>
      <c r="AA55" t="s">
        <v>53</v>
      </c>
      <c r="AB55">
        <f>-BIN2DEC(_xlfn.NUMBERVALUE(H55))*2^15+BIN2DEC(_xlfn.NUMBERVALUE(I55&amp;J55&amp;K55&amp;M55&amp;N55&amp;O55&amp;P55))*2^8+BIN2DEC(_xlfn.NUMBERVALUE(R55&amp;S55&amp;T55&amp;U55&amp;W55&amp;X55&amp;Y55&amp;Z55))</f>
        <v>-8299</v>
      </c>
      <c r="AE55">
        <f t="shared" ref="AE55" si="134">AE53+AE54</f>
        <v>-8299</v>
      </c>
    </row>
    <row r="57" spans="4:33" x14ac:dyDescent="0.45">
      <c r="G57" s="1" t="s">
        <v>62</v>
      </c>
      <c r="H57">
        <f>IF(H52+H53+H54&gt;=2,1,0)</f>
        <v>0</v>
      </c>
      <c r="I57" t="s">
        <v>63</v>
      </c>
      <c r="K57">
        <f>IF(MOD(SUM(R55:U55,W55:Z55),2)=0,1,0)</f>
        <v>1</v>
      </c>
      <c r="M57" t="s">
        <v>64</v>
      </c>
      <c r="O57">
        <f>U52</f>
        <v>1</v>
      </c>
      <c r="P57" t="s">
        <v>65</v>
      </c>
      <c r="R57">
        <f>IF(SUM(H55:K55,M55:P55,R55:U55,W55:Z55)=0,1,0)</f>
        <v>0</v>
      </c>
      <c r="S57" t="s">
        <v>66</v>
      </c>
      <c r="T57">
        <f>H55</f>
        <v>1</v>
      </c>
      <c r="W57" t="s">
        <v>67</v>
      </c>
      <c r="X57">
        <f>IF(_xlfn.BITAND(AE55&gt;=-32768,AE55&lt;=32767),0,1)</f>
        <v>0</v>
      </c>
    </row>
    <row r="59" spans="4:33" x14ac:dyDescent="0.45">
      <c r="G59" s="4"/>
      <c r="H59">
        <f>IF(I59+I60+I61&gt;=2,1,0)</f>
        <v>1</v>
      </c>
      <c r="I59">
        <f>IF(J59+J60+J61&gt;=2,1,0)</f>
        <v>1</v>
      </c>
      <c r="J59">
        <f>IF(K59+K60+K61&gt;=2,1,0)</f>
        <v>1</v>
      </c>
      <c r="K59">
        <f>IF(M59+M60+M61&gt;=2,1,0)</f>
        <v>1</v>
      </c>
      <c r="L59" t="s">
        <v>42</v>
      </c>
      <c r="M59">
        <f>IF(N59+N60+N61&gt;=2,1,0)</f>
        <v>1</v>
      </c>
      <c r="N59">
        <f t="shared" ref="N59" si="135">IF(O59+O60+O61&gt;=2,1,0)</f>
        <v>1</v>
      </c>
      <c r="O59">
        <f>IF(P59+P60+P61&gt;=2,1,0)</f>
        <v>1</v>
      </c>
      <c r="P59">
        <f t="shared" ref="P59" si="136">IF(R59+R60+R61&gt;=2,1,0)</f>
        <v>1</v>
      </c>
      <c r="Q59" t="s">
        <v>42</v>
      </c>
      <c r="R59">
        <f t="shared" ref="R59:T59" si="137">IF(S59+S60+S61&gt;=2,1,0)</f>
        <v>0</v>
      </c>
      <c r="S59">
        <f t="shared" si="137"/>
        <v>1</v>
      </c>
      <c r="T59">
        <f t="shared" si="137"/>
        <v>1</v>
      </c>
      <c r="U59">
        <f t="shared" ref="U59" si="138">IF(W59+W60+W61&gt;=2,1,0)</f>
        <v>0</v>
      </c>
      <c r="V59" t="s">
        <v>42</v>
      </c>
      <c r="W59">
        <f t="shared" ref="W59:Y59" si="139">IF(X59+X60+X61&gt;=2,1,0)</f>
        <v>1</v>
      </c>
      <c r="X59">
        <f t="shared" si="139"/>
        <v>1</v>
      </c>
      <c r="Y59">
        <f t="shared" si="139"/>
        <v>1</v>
      </c>
      <c r="Z59">
        <f t="shared" ref="Z59" si="140">IF(AB59+AB60+AB61&gt;=2,1,0)</f>
        <v>0</v>
      </c>
    </row>
    <row r="60" spans="4:33" x14ac:dyDescent="0.45">
      <c r="E60" s="1" t="s">
        <v>52</v>
      </c>
      <c r="H60">
        <f>H14</f>
        <v>1</v>
      </c>
      <c r="I60">
        <f t="shared" ref="I60:Z60" si="141">I14</f>
        <v>1</v>
      </c>
      <c r="J60">
        <f t="shared" si="141"/>
        <v>0</v>
      </c>
      <c r="K60">
        <f t="shared" si="141"/>
        <v>1</v>
      </c>
      <c r="L60" t="str">
        <f t="shared" si="141"/>
        <v>.</v>
      </c>
      <c r="M60">
        <f t="shared" si="141"/>
        <v>1</v>
      </c>
      <c r="N60">
        <f t="shared" si="141"/>
        <v>1</v>
      </c>
      <c r="O60">
        <f t="shared" si="141"/>
        <v>1</v>
      </c>
      <c r="P60">
        <f t="shared" si="141"/>
        <v>1</v>
      </c>
      <c r="Q60" t="str">
        <f t="shared" si="141"/>
        <v>.</v>
      </c>
      <c r="R60">
        <f t="shared" si="141"/>
        <v>1</v>
      </c>
      <c r="S60">
        <f t="shared" si="141"/>
        <v>0</v>
      </c>
      <c r="T60">
        <f t="shared" si="141"/>
        <v>0</v>
      </c>
      <c r="U60">
        <f t="shared" si="141"/>
        <v>1</v>
      </c>
      <c r="V60" t="str">
        <f t="shared" si="141"/>
        <v>.</v>
      </c>
      <c r="W60">
        <f t="shared" si="141"/>
        <v>0</v>
      </c>
      <c r="X60">
        <f t="shared" si="141"/>
        <v>1</v>
      </c>
      <c r="Y60">
        <f t="shared" si="141"/>
        <v>0</v>
      </c>
      <c r="Z60">
        <f t="shared" si="141"/>
        <v>1</v>
      </c>
      <c r="AD60" s="1" t="s">
        <v>60</v>
      </c>
      <c r="AE60">
        <f>C14</f>
        <v>-8299</v>
      </c>
    </row>
    <row r="61" spans="4:33" x14ac:dyDescent="0.45">
      <c r="D61" s="6" t="s">
        <v>47</v>
      </c>
      <c r="E61" s="7" t="s">
        <v>48</v>
      </c>
      <c r="F61" s="6"/>
      <c r="G61" s="6"/>
      <c r="H61" s="6">
        <f>H6</f>
        <v>0</v>
      </c>
      <c r="I61" s="6">
        <f t="shared" ref="I61:Z61" si="142">I6</f>
        <v>1</v>
      </c>
      <c r="J61" s="6">
        <f t="shared" si="142"/>
        <v>1</v>
      </c>
      <c r="K61" s="6">
        <f t="shared" si="142"/>
        <v>1</v>
      </c>
      <c r="L61" s="6" t="str">
        <f t="shared" si="142"/>
        <v>.</v>
      </c>
      <c r="M61" s="6">
        <f t="shared" si="142"/>
        <v>0</v>
      </c>
      <c r="N61" s="6">
        <f t="shared" si="142"/>
        <v>1</v>
      </c>
      <c r="O61" s="6">
        <f t="shared" si="142"/>
        <v>0</v>
      </c>
      <c r="P61" s="6">
        <f t="shared" si="142"/>
        <v>1</v>
      </c>
      <c r="Q61" s="6" t="str">
        <f t="shared" si="142"/>
        <v>.</v>
      </c>
      <c r="R61" s="6">
        <f t="shared" si="142"/>
        <v>1</v>
      </c>
      <c r="S61" s="6">
        <f t="shared" si="142"/>
        <v>0</v>
      </c>
      <c r="T61" s="6">
        <f t="shared" si="142"/>
        <v>1</v>
      </c>
      <c r="U61" s="6">
        <f t="shared" si="142"/>
        <v>1</v>
      </c>
      <c r="V61" s="6" t="str">
        <f t="shared" si="142"/>
        <v>.</v>
      </c>
      <c r="W61" s="6">
        <f t="shared" si="142"/>
        <v>0</v>
      </c>
      <c r="X61" s="6">
        <f t="shared" si="142"/>
        <v>1</v>
      </c>
      <c r="Y61" s="6">
        <f t="shared" si="142"/>
        <v>1</v>
      </c>
      <c r="Z61" s="6">
        <f t="shared" si="142"/>
        <v>1</v>
      </c>
      <c r="AC61" s="7" t="s">
        <v>47</v>
      </c>
      <c r="AD61" s="7" t="s">
        <v>56</v>
      </c>
      <c r="AE61" s="6">
        <f>C6</f>
        <v>30135</v>
      </c>
      <c r="AG61" t="s">
        <v>69</v>
      </c>
    </row>
    <row r="62" spans="4:33" x14ac:dyDescent="0.45">
      <c r="H62">
        <f>IF(H59+H60+H61=2,0,IF(OR(H59+H60+H61=1,H59+H60+H61=3),1,0))</f>
        <v>0</v>
      </c>
      <c r="I62">
        <f t="shared" ref="I62" si="143">IF(I59+I60+I61=2,0,IF(OR(I59+I60+I61=1,I59+I60+I61=3),1,0))</f>
        <v>1</v>
      </c>
      <c r="J62">
        <f>IF(J59+J60+J61=2,0,IF(OR(J59+J60+J61=1,J59+J60+J61=3),1,0))</f>
        <v>0</v>
      </c>
      <c r="K62">
        <f t="shared" ref="K62" si="144">IF(K59+K60+K61=2,0,IF(OR(K59+K60+K61=1,K59+K60+K61=3),1,0))</f>
        <v>1</v>
      </c>
      <c r="L62" t="s">
        <v>42</v>
      </c>
      <c r="M62">
        <f t="shared" ref="M62" si="145">IF(M59+M60+M61=2,0,IF(OR(M59+M60+M61=1,M59+M60+M61=3),1,0))</f>
        <v>0</v>
      </c>
      <c r="N62">
        <f t="shared" ref="N62" si="146">IF(N59+N60+N61=2,0,IF(OR(N59+N60+N61=1,N59+N60+N61=3),1,0))</f>
        <v>1</v>
      </c>
      <c r="O62">
        <f t="shared" ref="O62" si="147">IF(O59+O60+O61=2,0,IF(OR(O59+O60+O61=1,O59+O60+O61=3),1,0))</f>
        <v>0</v>
      </c>
      <c r="P62">
        <f t="shared" ref="P62" si="148">IF(P59+P60+P61=2,0,IF(OR(P59+P60+P61=1,P59+P60+P61=3),1,0))</f>
        <v>1</v>
      </c>
      <c r="Q62" t="s">
        <v>42</v>
      </c>
      <c r="R62">
        <f t="shared" ref="R62" si="149">IF(R59+R60+R61=2,0,IF(OR(R59+R60+R61=1,R59+R60+R61=3),1,0))</f>
        <v>0</v>
      </c>
      <c r="S62">
        <f t="shared" ref="S62" si="150">IF(S59+S60+S61=2,0,IF(OR(S59+S60+S61=1,S59+S60+S61=3),1,0))</f>
        <v>1</v>
      </c>
      <c r="T62">
        <f t="shared" ref="T62" si="151">IF(T59+T60+T61=2,0,IF(OR(T59+T60+T61=1,T59+T60+T61=3),1,0))</f>
        <v>0</v>
      </c>
      <c r="U62">
        <f t="shared" ref="U62" si="152">IF(U59+U60+U61=2,0,IF(OR(U59+U60+U61=1,U59+U60+U61=3),1,0))</f>
        <v>0</v>
      </c>
      <c r="V62" t="s">
        <v>42</v>
      </c>
      <c r="W62">
        <f t="shared" ref="W62" si="153">IF(W59+W60+W61=2,0,IF(OR(W59+W60+W61=1,W59+W60+W61=3),1,0))</f>
        <v>1</v>
      </c>
      <c r="X62">
        <f>IF(X59+X60+X61=2,0,IF(OR(X59+X60+X61=1,X59+X60+X61=3),1,0))</f>
        <v>1</v>
      </c>
      <c r="Y62">
        <f t="shared" ref="Y62" si="154">IF(Y59+Y60+Y61=2,0,IF(OR(Y59+Y60+Y61=1,Y59+Y60+Y61=3),1,0))</f>
        <v>0</v>
      </c>
      <c r="Z62">
        <f t="shared" ref="Z62" si="155">IF(Z59+Z60+Z61=2,0,IF(OR(Z59+Z60+Z61=1,Z59+Z60+Z61=3),1,0))</f>
        <v>0</v>
      </c>
      <c r="AA62" t="s">
        <v>53</v>
      </c>
      <c r="AB62">
        <f>-BIN2DEC(_xlfn.NUMBERVALUE(H62))*2^15+BIN2DEC(_xlfn.NUMBERVALUE(I62&amp;J62&amp;K62&amp;M62&amp;N62&amp;O62&amp;P62))*2^8+BIN2DEC(_xlfn.NUMBERVALUE(R62&amp;S62&amp;T62&amp;U62&amp;W62&amp;X62&amp;Y62&amp;Z62))</f>
        <v>21836</v>
      </c>
      <c r="AE62">
        <f t="shared" ref="AE62" si="156">AE60+AE61</f>
        <v>21836</v>
      </c>
    </row>
    <row r="64" spans="4:33" x14ac:dyDescent="0.45">
      <c r="G64" s="1" t="s">
        <v>62</v>
      </c>
      <c r="H64">
        <f>IF(H59+H60+H61&gt;=2,1,0)</f>
        <v>1</v>
      </c>
      <c r="I64" t="s">
        <v>63</v>
      </c>
      <c r="K64">
        <f>IF(MOD(SUM(R62:U62,W62:Z62),2)=0,1,0)</f>
        <v>0</v>
      </c>
      <c r="M64" t="s">
        <v>64</v>
      </c>
      <c r="O64">
        <f>U59</f>
        <v>0</v>
      </c>
      <c r="P64" t="s">
        <v>65</v>
      </c>
      <c r="R64">
        <f>IF(SUM(H62:K62,M62:P62,R62:U62,W62:Z62)=0,1,0)</f>
        <v>0</v>
      </c>
      <c r="S64" t="s">
        <v>66</v>
      </c>
      <c r="T64">
        <f>H62</f>
        <v>0</v>
      </c>
      <c r="W64" t="s">
        <v>67</v>
      </c>
      <c r="X64">
        <f>IF(_xlfn.BITAND(AE62&gt;=-32768,AE62&lt;=32767),0,1)</f>
        <v>0</v>
      </c>
    </row>
  </sheetData>
  <mergeCells count="1">
    <mergeCell ref="AG18:AG21"/>
  </mergeCells>
  <phoneticPr fontId="3" type="noConversion"/>
  <pageMargins left="0.7" right="0.7" top="0.75" bottom="0.75" header="0.3" footer="0.3"/>
  <pageSetup scale="36" fitToWidth="0" fitToHeight="0" orientation="portrait" r:id="rId1"/>
  <headerFooter>
    <oddHeader xml:space="preserve">&amp;LЦэрэндорж Ариунбат&amp;CВариант 26&amp;RLab5
</oddHeader>
    <oddFooter xml:space="preserve">&amp;R15:01/20.11.2025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Ariunbat Tserendorj</dc:creator>
  <cp:lastModifiedBy>Ariunbat Tserendorj</cp:lastModifiedBy>
  <dcterms:created xsi:type="dcterms:W3CDTF">2025-11-19T12:27:40Z</dcterms:created>
  <dcterms:modified xsi:type="dcterms:W3CDTF">2025-11-20T17:43:25Z</dcterms:modified>
</cp:coreProperties>
</file>