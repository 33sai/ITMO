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</sheets>
  <definedNames>
    <definedName name="_xlnm.Print_Area" localSheetId="0">'Sheet1'!$A$1:$AI$70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charset val="204"/>
      <family val="2"/>
      <color theme="1"/>
      <sz val="11"/>
      <scheme val="minor"/>
    </font>
    <font>
      <name val="Aptos Narrow"/>
      <family val="2"/>
      <color theme="1"/>
      <sz val="11"/>
      <vertAlign val="superscript"/>
      <scheme val="minor"/>
    </font>
    <font>
      <name val="Aptos Narrow"/>
      <charset val="204"/>
      <family val="2"/>
      <color theme="1" tint="0.499984740745262"/>
      <sz val="11"/>
      <scheme val="minor"/>
    </font>
    <font>
      <name val="Aptos Narrow"/>
      <charset val="204"/>
      <family val="2"/>
      <sz val="8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1" xfId="0">
      <alignment horizontal="right"/>
    </xf>
    <xf numFmtId="49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49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  <xf numFmtId="49" fontId="0" fillId="0" borderId="1" applyAlignment="1" pivotButton="0" quotePrefix="0" xfId="0">
      <alignment horizontal="right"/>
    </xf>
    <xf numFmtId="0" fontId="0" fillId="0" borderId="3" applyAlignment="1" pivotButton="0" quotePrefix="0" xfId="0">
      <alignment horizontal="right"/>
    </xf>
    <xf numFmtId="0" fontId="0" fillId="0" borderId="3" pivotButton="0" quotePrefix="0" xfId="0"/>
    <xf numFmtId="0" fontId="0" fillId="0" borderId="2" pivotButton="0" quotePrefix="0" xfId="0"/>
    <xf numFmtId="0" fontId="2" fillId="0" borderId="3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1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F64"/>
  <sheetViews>
    <sheetView tabSelected="1" view="pageLayout" topLeftCell="B1" zoomScale="104" zoomScaleNormal="70" zoomScaleSheetLayoutView="55" zoomScalePageLayoutView="104" workbookViewId="0">
      <selection activeCell="AB20" sqref="AB20"/>
    </sheetView>
  </sheetViews>
  <sheetFormatPr baseColWidth="8" defaultColWidth="9.06640625" defaultRowHeight="14.25"/>
  <cols>
    <col width="5.06640625" bestFit="1" customWidth="1" min="1" max="1"/>
    <col width="10.33203125" bestFit="1" customWidth="1" min="2" max="2"/>
    <col width="6.33203125" bestFit="1" customWidth="1" min="3" max="3"/>
    <col width="2.46484375" customWidth="1" min="4" max="4"/>
    <col width="9.06640625" customWidth="1" min="5" max="5"/>
    <col width="5.59765625" customWidth="1" min="6" max="6"/>
    <col width="5.73046875" bestFit="1" customWidth="1" min="7" max="7"/>
    <col width="2.73046875" customWidth="1" min="8" max="8"/>
    <col width="2.796875" customWidth="1" min="9" max="10"/>
    <col width="2.86328125" customWidth="1" min="11" max="11"/>
    <col width="1" customWidth="1" min="12" max="12"/>
    <col width="2.796875" customWidth="1" min="13" max="13"/>
    <col width="2.9296875" customWidth="1" min="14" max="14"/>
    <col width="2.796875" customWidth="1" min="15" max="15"/>
    <col width="2.9296875" customWidth="1" min="16" max="16"/>
    <col width="0.9296875" customWidth="1" min="17" max="17"/>
    <col width="2.9296875" customWidth="1" min="18" max="18"/>
    <col width="2.86328125" customWidth="1" min="19" max="20"/>
    <col width="2.9296875" customWidth="1" min="21" max="21"/>
    <col width="1" customWidth="1" min="22" max="22"/>
    <col width="2.9296875" customWidth="1" min="23" max="23"/>
    <col width="2.86328125" customWidth="1" min="24" max="26"/>
    <col width="1.796875" customWidth="1" min="27" max="27"/>
    <col width="10.46484375" bestFit="1" customWidth="1" min="28" max="28"/>
    <col width="1.86328125" customWidth="1" min="29" max="29"/>
    <col width="3.73046875" customWidth="1" min="30" max="30"/>
    <col width="9.06640625" customWidth="1" min="31" max="31"/>
    <col width="4.73046875" bestFit="1" customWidth="1" min="32" max="32"/>
    <col width="64.796875" customWidth="1" min="33" max="33"/>
    <col width="9.06640625" customWidth="1" min="34" max="35"/>
  </cols>
  <sheetData>
    <row r="1">
      <c r="B1" s="1" t="inlineStr">
        <is>
          <t>A =</t>
        </is>
      </c>
      <c r="C1" t="n">
        <v>10918</v>
      </c>
    </row>
    <row r="2">
      <c r="B2" s="1" t="inlineStr">
        <is>
          <t>C =</t>
        </is>
      </c>
      <c r="C2" t="n">
        <v>19217</v>
      </c>
    </row>
    <row r="3">
      <c r="B3" s="1" t="n"/>
    </row>
    <row r="4" ht="15.75" customHeight="1">
      <c r="A4" s="11" t="inlineStr">
        <is>
          <t>X1 =</t>
        </is>
      </c>
      <c r="B4" s="11" t="inlineStr">
        <is>
          <t>A =</t>
        </is>
      </c>
      <c r="C4" s="12">
        <f>C1</f>
        <v/>
      </c>
      <c r="D4" s="13" t="n"/>
      <c r="E4" s="11" t="inlineStr">
        <is>
          <t>B1=</t>
        </is>
      </c>
      <c r="F4" s="14">
        <f>MOD(C4, 65536)</f>
        <v/>
      </c>
      <c r="G4" s="15">
        <f>MOD(INT(G4/POWER(2,15)),2)</f>
        <v/>
      </c>
      <c r="H4" s="15">
        <f>MOD(INT(G4/POWER(2,14)),2)</f>
        <v/>
      </c>
      <c r="I4" s="15">
        <f>MOD(INT(G4/POWER(2,13)),2)</f>
        <v/>
      </c>
      <c r="J4" s="15">
        <f>MOD(INT(G4/POWER(2,12)),2)</f>
        <v/>
      </c>
      <c r="K4" s="15" t="inlineStr">
        <is>
          <t>.</t>
        </is>
      </c>
      <c r="L4" s="15">
        <f>MOD(INT(G4/POWER(2,11)),2)</f>
        <v/>
      </c>
      <c r="M4" s="15">
        <f>MOD(INT(G4/POWER(2,10)),2)</f>
        <v/>
      </c>
      <c r="N4" s="15">
        <f>MOD(INT(G4/POWER(2,9)),2)</f>
        <v/>
      </c>
      <c r="O4" s="15">
        <f>MOD(INT(G4/POWER(2,8)),2)</f>
        <v/>
      </c>
      <c r="P4" s="15" t="inlineStr">
        <is>
          <t>.</t>
        </is>
      </c>
      <c r="Q4" s="15">
        <f>MOD(INT(G4/POWER(2,7)),2)</f>
        <v/>
      </c>
      <c r="R4" s="15">
        <f>MOD(INT(G4/POWER(2,6)),2)</f>
        <v/>
      </c>
      <c r="S4" s="15">
        <f>MOD(INT(G4/POWER(2,5)),2)</f>
        <v/>
      </c>
      <c r="T4" s="15">
        <f>MOD(INT(G4/POWER(2,4)),2)</f>
        <v/>
      </c>
      <c r="U4" s="15" t="inlineStr">
        <is>
          <t>.</t>
        </is>
      </c>
      <c r="V4" s="15">
        <f>MOD(INT(G4/POWER(2,3)),2)</f>
        <v/>
      </c>
      <c r="W4" s="15">
        <f>MOD(INT(G4/POWER(2,2)),2)</f>
        <v/>
      </c>
      <c r="X4" s="15">
        <f>MOD(INT(G4/POWER(2,1)),2)</f>
        <v/>
      </c>
      <c r="Y4" s="13">
        <f>MOD(INT(G4/POWER(2,0)),2)</f>
        <v/>
      </c>
      <c r="AC4" t="inlineStr">
        <is>
          <t>ОДЗ:</t>
        </is>
      </c>
      <c r="AD4" s="5" t="inlineStr">
        <is>
          <t>[-215; 215; -1]</t>
        </is>
      </c>
      <c r="AF4" s="5" t="n"/>
    </row>
    <row r="5">
      <c r="A5" s="11" t="inlineStr">
        <is>
          <t>X2 =</t>
        </is>
      </c>
      <c r="B5" s="11" t="inlineStr">
        <is>
          <t>C =</t>
        </is>
      </c>
      <c r="C5" s="12">
        <f>C2</f>
        <v/>
      </c>
      <c r="D5" s="13" t="n"/>
      <c r="E5" s="11" t="inlineStr">
        <is>
          <t>B2=</t>
        </is>
      </c>
      <c r="F5" s="14">
        <f>MOD(C5, 65536)</f>
        <v/>
      </c>
      <c r="G5" s="15">
        <f>MOD(INT(G5/POWER(2,15)),2)</f>
        <v/>
      </c>
      <c r="H5" s="15">
        <f>MOD(INT(G5/POWER(2,14)),2)</f>
        <v/>
      </c>
      <c r="I5" s="15">
        <f>MOD(INT(G5/POWER(2,13)),2)</f>
        <v/>
      </c>
      <c r="J5" s="15">
        <f>MOD(INT(G5/POWER(2,12)),2)</f>
        <v/>
      </c>
      <c r="K5" s="15" t="inlineStr">
        <is>
          <t>.</t>
        </is>
      </c>
      <c r="L5" s="15">
        <f>MOD(INT(G5/POWER(2,11)),2)</f>
        <v/>
      </c>
      <c r="M5" s="15">
        <f>MOD(INT(G5/POWER(2,10)),2)</f>
        <v/>
      </c>
      <c r="N5" s="15">
        <f>MOD(INT(G5/POWER(2,9)),2)</f>
        <v/>
      </c>
      <c r="O5" s="15">
        <f>MOD(INT(G5/POWER(2,8)),2)</f>
        <v/>
      </c>
      <c r="P5" s="15" t="inlineStr">
        <is>
          <t>.</t>
        </is>
      </c>
      <c r="Q5" s="15">
        <f>MOD(INT(G5/POWER(2,7)),2)</f>
        <v/>
      </c>
      <c r="R5" s="15">
        <f>MOD(INT(G5/POWER(2,6)),2)</f>
        <v/>
      </c>
      <c r="S5" s="15">
        <f>MOD(INT(G5/POWER(2,5)),2)</f>
        <v/>
      </c>
      <c r="T5" s="15">
        <f>MOD(INT(G5/POWER(2,4)),2)</f>
        <v/>
      </c>
      <c r="U5" s="15" t="inlineStr">
        <is>
          <t>.</t>
        </is>
      </c>
      <c r="V5" s="15">
        <f>MOD(INT(G5/POWER(2,3)),2)</f>
        <v/>
      </c>
      <c r="W5" s="15">
        <f>MOD(INT(G5/POWER(2,2)),2)</f>
        <v/>
      </c>
      <c r="X5" s="15">
        <f>MOD(INT(G5/POWER(2,1)),2)</f>
        <v/>
      </c>
      <c r="Y5" s="13">
        <f>MOD(INT(G5/POWER(2,0)),2)</f>
        <v/>
      </c>
    </row>
    <row r="6">
      <c r="A6" s="11" t="inlineStr">
        <is>
          <t>X3 =</t>
        </is>
      </c>
      <c r="B6" s="11" t="inlineStr">
        <is>
          <t>A + C =</t>
        </is>
      </c>
      <c r="C6" s="12">
        <f>C1+C2</f>
        <v/>
      </c>
      <c r="D6" s="13" t="n"/>
      <c r="E6" s="11" t="inlineStr">
        <is>
          <t>B3=</t>
        </is>
      </c>
      <c r="F6" s="14">
        <f>MOD(C6, 65536)</f>
        <v/>
      </c>
      <c r="G6" s="15">
        <f>MOD(INT(G6/POWER(2,15)),2)</f>
        <v/>
      </c>
      <c r="H6" s="15">
        <f>MOD(INT(G6/POWER(2,14)),2)</f>
        <v/>
      </c>
      <c r="I6" s="15">
        <f>MOD(INT(G6/POWER(2,13)),2)</f>
        <v/>
      </c>
      <c r="J6" s="15">
        <f>MOD(INT(G6/POWER(2,12)),2)</f>
        <v/>
      </c>
      <c r="K6" s="15" t="inlineStr">
        <is>
          <t>.</t>
        </is>
      </c>
      <c r="L6" s="15">
        <f>MOD(INT(G6/POWER(2,11)),2)</f>
        <v/>
      </c>
      <c r="M6" s="15">
        <f>MOD(INT(G6/POWER(2,10)),2)</f>
        <v/>
      </c>
      <c r="N6" s="15">
        <f>MOD(INT(G6/POWER(2,9)),2)</f>
        <v/>
      </c>
      <c r="O6" s="15">
        <f>MOD(INT(G6/POWER(2,8)),2)</f>
        <v/>
      </c>
      <c r="P6" s="15" t="inlineStr">
        <is>
          <t>.</t>
        </is>
      </c>
      <c r="Q6" s="15">
        <f>MOD(INT(G6/POWER(2,7)),2)</f>
        <v/>
      </c>
      <c r="R6" s="15">
        <f>MOD(INT(G6/POWER(2,6)),2)</f>
        <v/>
      </c>
      <c r="S6" s="15">
        <f>MOD(INT(G6/POWER(2,5)),2)</f>
        <v/>
      </c>
      <c r="T6" s="15">
        <f>MOD(INT(G6/POWER(2,4)),2)</f>
        <v/>
      </c>
      <c r="U6" s="15" t="inlineStr">
        <is>
          <t>.</t>
        </is>
      </c>
      <c r="V6" s="15">
        <f>MOD(INT(G6/POWER(2,3)),2)</f>
        <v/>
      </c>
      <c r="W6" s="15">
        <f>MOD(INT(G6/POWER(2,2)),2)</f>
        <v/>
      </c>
      <c r="X6" s="15">
        <f>MOD(INT(G6/POWER(2,1)),2)</f>
        <v/>
      </c>
      <c r="Y6" s="13">
        <f>MOD(INT(G6/POWER(2,0)),2)</f>
        <v/>
      </c>
    </row>
    <row r="7">
      <c r="A7" s="11" t="inlineStr">
        <is>
          <t>X4 =</t>
        </is>
      </c>
      <c r="B7" s="11" t="inlineStr">
        <is>
          <t>A + C + C=</t>
        </is>
      </c>
      <c r="C7" s="12">
        <f>C1+C2+C2</f>
        <v/>
      </c>
      <c r="D7" s="13" t="n"/>
      <c r="E7" s="11" t="inlineStr">
        <is>
          <t>B4=</t>
        </is>
      </c>
      <c r="F7" s="14">
        <f>MOD(C7, 65536)</f>
        <v/>
      </c>
      <c r="G7" s="15">
        <f>MOD(INT(G7/POWER(2,15)),2)</f>
        <v/>
      </c>
      <c r="H7" s="15">
        <f>MOD(INT(G7/POWER(2,14)),2)</f>
        <v/>
      </c>
      <c r="I7" s="15">
        <f>MOD(INT(G7/POWER(2,13)),2)</f>
        <v/>
      </c>
      <c r="J7" s="15">
        <f>MOD(INT(G7/POWER(2,12)),2)</f>
        <v/>
      </c>
      <c r="K7" s="15" t="inlineStr">
        <is>
          <t>.</t>
        </is>
      </c>
      <c r="L7" s="15">
        <f>MOD(INT(G7/POWER(2,11)),2)</f>
        <v/>
      </c>
      <c r="M7" s="15">
        <f>MOD(INT(G7/POWER(2,10)),2)</f>
        <v/>
      </c>
      <c r="N7" s="15">
        <f>MOD(INT(G7/POWER(2,9)),2)</f>
        <v/>
      </c>
      <c r="O7" s="15">
        <f>MOD(INT(G7/POWER(2,8)),2)</f>
        <v/>
      </c>
      <c r="P7" s="15" t="inlineStr">
        <is>
          <t>.</t>
        </is>
      </c>
      <c r="Q7" s="15">
        <f>MOD(INT(G7/POWER(2,7)),2)</f>
        <v/>
      </c>
      <c r="R7" s="15">
        <f>MOD(INT(G7/POWER(2,6)),2)</f>
        <v/>
      </c>
      <c r="S7" s="15">
        <f>MOD(INT(G7/POWER(2,5)),2)</f>
        <v/>
      </c>
      <c r="T7" s="15">
        <f>MOD(INT(G7/POWER(2,4)),2)</f>
        <v/>
      </c>
      <c r="U7" s="15" t="inlineStr">
        <is>
          <t>.</t>
        </is>
      </c>
      <c r="V7" s="15">
        <f>MOD(INT(G7/POWER(2,3)),2)</f>
        <v/>
      </c>
      <c r="W7" s="15">
        <f>MOD(INT(G7/POWER(2,2)),2)</f>
        <v/>
      </c>
      <c r="X7" s="15">
        <f>MOD(INT(G7/POWER(2,1)),2)</f>
        <v/>
      </c>
      <c r="Y7" s="13">
        <f>MOD(INT(G7/POWER(2,0)),2)</f>
        <v/>
      </c>
    </row>
    <row r="8">
      <c r="A8" s="11" t="inlineStr">
        <is>
          <t>X5 =</t>
        </is>
      </c>
      <c r="B8" s="11" t="inlineStr">
        <is>
          <t>C - A =</t>
        </is>
      </c>
      <c r="C8" s="12">
        <f>C2-C1</f>
        <v/>
      </c>
      <c r="D8" s="13" t="n"/>
      <c r="E8" s="11" t="inlineStr">
        <is>
          <t>B5=</t>
        </is>
      </c>
      <c r="F8" s="14">
        <f>MOD(C8, 65536)</f>
        <v/>
      </c>
      <c r="G8" s="15">
        <f>MOD(INT(G8/POWER(2,15)),2)</f>
        <v/>
      </c>
      <c r="H8" s="15">
        <f>MOD(INT(G8/POWER(2,14)),2)</f>
        <v/>
      </c>
      <c r="I8" s="15">
        <f>MOD(INT(G8/POWER(2,13)),2)</f>
        <v/>
      </c>
      <c r="J8" s="15">
        <f>MOD(INT(G8/POWER(2,12)),2)</f>
        <v/>
      </c>
      <c r="K8" s="15" t="inlineStr">
        <is>
          <t>.</t>
        </is>
      </c>
      <c r="L8" s="15">
        <f>MOD(INT(G8/POWER(2,11)),2)</f>
        <v/>
      </c>
      <c r="M8" s="15">
        <f>MOD(INT(G8/POWER(2,10)),2)</f>
        <v/>
      </c>
      <c r="N8" s="15">
        <f>MOD(INT(G8/POWER(2,9)),2)</f>
        <v/>
      </c>
      <c r="O8" s="15">
        <f>MOD(INT(G8/POWER(2,8)),2)</f>
        <v/>
      </c>
      <c r="P8" s="15" t="inlineStr">
        <is>
          <t>.</t>
        </is>
      </c>
      <c r="Q8" s="15">
        <f>MOD(INT(G8/POWER(2,7)),2)</f>
        <v/>
      </c>
      <c r="R8" s="15">
        <f>MOD(INT(G8/POWER(2,6)),2)</f>
        <v/>
      </c>
      <c r="S8" s="15">
        <f>MOD(INT(G8/POWER(2,5)),2)</f>
        <v/>
      </c>
      <c r="T8" s="15">
        <f>MOD(INT(G8/POWER(2,4)),2)</f>
        <v/>
      </c>
      <c r="U8" s="15" t="inlineStr">
        <is>
          <t>.</t>
        </is>
      </c>
      <c r="V8" s="15">
        <f>MOD(INT(G8/POWER(2,3)),2)</f>
        <v/>
      </c>
      <c r="W8" s="15">
        <f>MOD(INT(G8/POWER(2,2)),2)</f>
        <v/>
      </c>
      <c r="X8" s="15">
        <f>MOD(INT(G8/POWER(2,1)),2)</f>
        <v/>
      </c>
      <c r="Y8" s="13">
        <f>MOD(INT(G8/POWER(2,0)),2)</f>
        <v/>
      </c>
    </row>
    <row r="9">
      <c r="A9" s="11" t="inlineStr">
        <is>
          <t>X6 =</t>
        </is>
      </c>
      <c r="B9" s="11" t="inlineStr">
        <is>
          <t>65536 - X4 =</t>
        </is>
      </c>
      <c r="C9" s="12">
        <f>65536-C7</f>
        <v/>
      </c>
      <c r="D9" s="13" t="n"/>
      <c r="E9" s="11" t="inlineStr">
        <is>
          <t>B6=</t>
        </is>
      </c>
      <c r="F9" s="14">
        <f>MOD(C9, 65536)</f>
        <v/>
      </c>
      <c r="G9" s="15">
        <f>MOD(INT(G9/POWER(2,15)),2)</f>
        <v/>
      </c>
      <c r="H9" s="15">
        <f>MOD(INT(G9/POWER(2,14)),2)</f>
        <v/>
      </c>
      <c r="I9" s="15">
        <f>MOD(INT(G9/POWER(2,13)),2)</f>
        <v/>
      </c>
      <c r="J9" s="15">
        <f>MOD(INT(G9/POWER(2,12)),2)</f>
        <v/>
      </c>
      <c r="K9" s="15" t="inlineStr">
        <is>
          <t>.</t>
        </is>
      </c>
      <c r="L9" s="15">
        <f>MOD(INT(G9/POWER(2,11)),2)</f>
        <v/>
      </c>
      <c r="M9" s="15">
        <f>MOD(INT(G9/POWER(2,10)),2)</f>
        <v/>
      </c>
      <c r="N9" s="15">
        <f>MOD(INT(G9/POWER(2,9)),2)</f>
        <v/>
      </c>
      <c r="O9" s="15">
        <f>MOD(INT(G9/POWER(2,8)),2)</f>
        <v/>
      </c>
      <c r="P9" s="15" t="inlineStr">
        <is>
          <t>.</t>
        </is>
      </c>
      <c r="Q9" s="15">
        <f>MOD(INT(G9/POWER(2,7)),2)</f>
        <v/>
      </c>
      <c r="R9" s="15">
        <f>MOD(INT(G9/POWER(2,6)),2)</f>
        <v/>
      </c>
      <c r="S9" s="15">
        <f>MOD(INT(G9/POWER(2,5)),2)</f>
        <v/>
      </c>
      <c r="T9" s="15">
        <f>MOD(INT(G9/POWER(2,4)),2)</f>
        <v/>
      </c>
      <c r="U9" s="15" t="inlineStr">
        <is>
          <t>.</t>
        </is>
      </c>
      <c r="V9" s="15">
        <f>MOD(INT(G9/POWER(2,3)),2)</f>
        <v/>
      </c>
      <c r="W9" s="15">
        <f>MOD(INT(G9/POWER(2,2)),2)</f>
        <v/>
      </c>
      <c r="X9" s="15">
        <f>MOD(INT(G9/POWER(2,1)),2)</f>
        <v/>
      </c>
      <c r="Y9" s="13">
        <f>MOD(INT(G9/POWER(2,0)),2)</f>
        <v/>
      </c>
    </row>
    <row r="10">
      <c r="A10" s="11" t="inlineStr">
        <is>
          <t>X7 =</t>
        </is>
      </c>
      <c r="B10" s="16" t="inlineStr">
        <is>
          <t>-X1=</t>
        </is>
      </c>
      <c r="C10" s="12">
        <f>-C4</f>
        <v/>
      </c>
      <c r="D10" s="13" t="n"/>
      <c r="E10" s="11" t="inlineStr">
        <is>
          <t>B7=</t>
        </is>
      </c>
      <c r="F10" s="14">
        <f>MOD(C10, 65536)</f>
        <v/>
      </c>
      <c r="G10" s="15">
        <f>MOD(INT(G10/POWER(2,15)),2)</f>
        <v/>
      </c>
      <c r="H10" s="15">
        <f>MOD(INT(G10/POWER(2,14)),2)</f>
        <v/>
      </c>
      <c r="I10" s="15">
        <f>MOD(INT(G10/POWER(2,13)),2)</f>
        <v/>
      </c>
      <c r="J10" s="15">
        <f>MOD(INT(G10/POWER(2,12)),2)</f>
        <v/>
      </c>
      <c r="K10" s="15" t="inlineStr">
        <is>
          <t>.</t>
        </is>
      </c>
      <c r="L10" s="15">
        <f>MOD(INT(G10/POWER(2,11)),2)</f>
        <v/>
      </c>
      <c r="M10" s="15">
        <f>MOD(INT(G10/POWER(2,10)),2)</f>
        <v/>
      </c>
      <c r="N10" s="15">
        <f>MOD(INT(G10/POWER(2,9)),2)</f>
        <v/>
      </c>
      <c r="O10" s="15">
        <f>MOD(INT(G10/POWER(2,8)),2)</f>
        <v/>
      </c>
      <c r="P10" s="15" t="inlineStr">
        <is>
          <t>.</t>
        </is>
      </c>
      <c r="Q10" s="15">
        <f>MOD(INT(G10/POWER(2,7)),2)</f>
        <v/>
      </c>
      <c r="R10" s="15">
        <f>MOD(INT(G10/POWER(2,6)),2)</f>
        <v/>
      </c>
      <c r="S10" s="15">
        <f>MOD(INT(G10/POWER(2,5)),2)</f>
        <v/>
      </c>
      <c r="T10" s="15">
        <f>MOD(INT(G10/POWER(2,4)),2)</f>
        <v/>
      </c>
      <c r="U10" s="15" t="inlineStr">
        <is>
          <t>.</t>
        </is>
      </c>
      <c r="V10" s="15">
        <f>MOD(INT(G10/POWER(2,3)),2)</f>
        <v/>
      </c>
      <c r="W10" s="15">
        <f>MOD(INT(G10/POWER(2,2)),2)</f>
        <v/>
      </c>
      <c r="X10" s="15">
        <f>MOD(INT(G10/POWER(2,1)),2)</f>
        <v/>
      </c>
      <c r="Y10" s="13">
        <f>MOD(INT(G10/POWER(2,0)),2)</f>
        <v/>
      </c>
    </row>
    <row r="11">
      <c r="A11" s="11" t="inlineStr">
        <is>
          <t>X8 =</t>
        </is>
      </c>
      <c r="B11" s="16" t="inlineStr">
        <is>
          <t>-X2=</t>
        </is>
      </c>
      <c r="C11" s="12">
        <f>-C5</f>
        <v/>
      </c>
      <c r="D11" s="13" t="n"/>
      <c r="E11" s="11" t="inlineStr">
        <is>
          <t>B8=</t>
        </is>
      </c>
      <c r="F11" s="14">
        <f>MOD(C11, 65536)</f>
        <v/>
      </c>
      <c r="G11" s="15">
        <f>MOD(INT(G11/POWER(2,15)),2)</f>
        <v/>
      </c>
      <c r="H11" s="15">
        <f>MOD(INT(G11/POWER(2,14)),2)</f>
        <v/>
      </c>
      <c r="I11" s="15">
        <f>MOD(INT(G11/POWER(2,13)),2)</f>
        <v/>
      </c>
      <c r="J11" s="15">
        <f>MOD(INT(G11/POWER(2,12)),2)</f>
        <v/>
      </c>
      <c r="K11" s="15" t="inlineStr">
        <is>
          <t>.</t>
        </is>
      </c>
      <c r="L11" s="15">
        <f>MOD(INT(G11/POWER(2,11)),2)</f>
        <v/>
      </c>
      <c r="M11" s="15">
        <f>MOD(INT(G11/POWER(2,10)),2)</f>
        <v/>
      </c>
      <c r="N11" s="15">
        <f>MOD(INT(G11/POWER(2,9)),2)</f>
        <v/>
      </c>
      <c r="O11" s="15">
        <f>MOD(INT(G11/POWER(2,8)),2)</f>
        <v/>
      </c>
      <c r="P11" s="15" t="inlineStr">
        <is>
          <t>.</t>
        </is>
      </c>
      <c r="Q11" s="15">
        <f>MOD(INT(G11/POWER(2,7)),2)</f>
        <v/>
      </c>
      <c r="R11" s="15">
        <f>MOD(INT(G11/POWER(2,6)),2)</f>
        <v/>
      </c>
      <c r="S11" s="15">
        <f>MOD(INT(G11/POWER(2,5)),2)</f>
        <v/>
      </c>
      <c r="T11" s="15">
        <f>MOD(INT(G11/POWER(2,4)),2)</f>
        <v/>
      </c>
      <c r="U11" s="15" t="inlineStr">
        <is>
          <t>.</t>
        </is>
      </c>
      <c r="V11" s="15">
        <f>MOD(INT(G11/POWER(2,3)),2)</f>
        <v/>
      </c>
      <c r="W11" s="15">
        <f>MOD(INT(G11/POWER(2,2)),2)</f>
        <v/>
      </c>
      <c r="X11" s="15">
        <f>MOD(INT(G11/POWER(2,1)),2)</f>
        <v/>
      </c>
      <c r="Y11" s="13">
        <f>MOD(INT(G11/POWER(2,0)),2)</f>
        <v/>
      </c>
    </row>
    <row r="12">
      <c r="A12" s="11" t="inlineStr">
        <is>
          <t>X9 =</t>
        </is>
      </c>
      <c r="B12" s="16" t="inlineStr">
        <is>
          <t>-X3=</t>
        </is>
      </c>
      <c r="C12" s="12">
        <f>-C6</f>
        <v/>
      </c>
      <c r="D12" s="13" t="n"/>
      <c r="E12" s="11" t="inlineStr">
        <is>
          <t>B9=</t>
        </is>
      </c>
      <c r="F12" s="14">
        <f>MOD(C12, 65536)</f>
        <v/>
      </c>
      <c r="G12" s="15">
        <f>MOD(INT(G12/POWER(2,15)),2)</f>
        <v/>
      </c>
      <c r="H12" s="15">
        <f>MOD(INT(G12/POWER(2,14)),2)</f>
        <v/>
      </c>
      <c r="I12" s="15">
        <f>MOD(INT(G12/POWER(2,13)),2)</f>
        <v/>
      </c>
      <c r="J12" s="15">
        <f>MOD(INT(G12/POWER(2,12)),2)</f>
        <v/>
      </c>
      <c r="K12" s="15" t="inlineStr">
        <is>
          <t>.</t>
        </is>
      </c>
      <c r="L12" s="15">
        <f>MOD(INT(G12/POWER(2,11)),2)</f>
        <v/>
      </c>
      <c r="M12" s="15">
        <f>MOD(INT(G12/POWER(2,10)),2)</f>
        <v/>
      </c>
      <c r="N12" s="15">
        <f>MOD(INT(G12/POWER(2,9)),2)</f>
        <v/>
      </c>
      <c r="O12" s="15">
        <f>MOD(INT(G12/POWER(2,8)),2)</f>
        <v/>
      </c>
      <c r="P12" s="15" t="inlineStr">
        <is>
          <t>.</t>
        </is>
      </c>
      <c r="Q12" s="15">
        <f>MOD(INT(G12/POWER(2,7)),2)</f>
        <v/>
      </c>
      <c r="R12" s="15">
        <f>MOD(INT(G12/POWER(2,6)),2)</f>
        <v/>
      </c>
      <c r="S12" s="15">
        <f>MOD(INT(G12/POWER(2,5)),2)</f>
        <v/>
      </c>
      <c r="T12" s="15">
        <f>MOD(INT(G12/POWER(2,4)),2)</f>
        <v/>
      </c>
      <c r="U12" s="15" t="inlineStr">
        <is>
          <t>.</t>
        </is>
      </c>
      <c r="V12" s="15">
        <f>MOD(INT(G12/POWER(2,3)),2)</f>
        <v/>
      </c>
      <c r="W12" s="15">
        <f>MOD(INT(G12/POWER(2,2)),2)</f>
        <v/>
      </c>
      <c r="X12" s="15">
        <f>MOD(INT(G12/POWER(2,1)),2)</f>
        <v/>
      </c>
      <c r="Y12" s="13">
        <f>MOD(INT(G12/POWER(2,0)),2)</f>
        <v/>
      </c>
    </row>
    <row r="13">
      <c r="A13" s="11" t="inlineStr">
        <is>
          <t>X10 =</t>
        </is>
      </c>
      <c r="B13" s="16" t="inlineStr">
        <is>
          <t>-X4=</t>
        </is>
      </c>
      <c r="C13" s="12">
        <f>-C7</f>
        <v/>
      </c>
      <c r="D13" s="13" t="n"/>
      <c r="E13" s="11" t="inlineStr">
        <is>
          <t>B10=</t>
        </is>
      </c>
      <c r="F13" s="14">
        <f>MOD(C13, 65536)</f>
        <v/>
      </c>
      <c r="G13" s="15">
        <f>MOD(INT(G13/POWER(2,15)),2)</f>
        <v/>
      </c>
      <c r="H13" s="15">
        <f>MOD(INT(G13/POWER(2,14)),2)</f>
        <v/>
      </c>
      <c r="I13" s="15">
        <f>MOD(INT(G13/POWER(2,13)),2)</f>
        <v/>
      </c>
      <c r="J13" s="15">
        <f>MOD(INT(G13/POWER(2,12)),2)</f>
        <v/>
      </c>
      <c r="K13" s="15" t="inlineStr">
        <is>
          <t>.</t>
        </is>
      </c>
      <c r="L13" s="15">
        <f>MOD(INT(G13/POWER(2,11)),2)</f>
        <v/>
      </c>
      <c r="M13" s="15">
        <f>MOD(INT(G13/POWER(2,10)),2)</f>
        <v/>
      </c>
      <c r="N13" s="15">
        <f>MOD(INT(G13/POWER(2,9)),2)</f>
        <v/>
      </c>
      <c r="O13" s="15">
        <f>MOD(INT(G13/POWER(2,8)),2)</f>
        <v/>
      </c>
      <c r="P13" s="15" t="inlineStr">
        <is>
          <t>.</t>
        </is>
      </c>
      <c r="Q13" s="15">
        <f>MOD(INT(G13/POWER(2,7)),2)</f>
        <v/>
      </c>
      <c r="R13" s="15">
        <f>MOD(INT(G13/POWER(2,6)),2)</f>
        <v/>
      </c>
      <c r="S13" s="15">
        <f>MOD(INT(G13/POWER(2,5)),2)</f>
        <v/>
      </c>
      <c r="T13" s="15">
        <f>MOD(INT(G13/POWER(2,4)),2)</f>
        <v/>
      </c>
      <c r="U13" s="15" t="inlineStr">
        <is>
          <t>.</t>
        </is>
      </c>
      <c r="V13" s="15">
        <f>MOD(INT(G13/POWER(2,3)),2)</f>
        <v/>
      </c>
      <c r="W13" s="15">
        <f>MOD(INT(G13/POWER(2,2)),2)</f>
        <v/>
      </c>
      <c r="X13" s="15">
        <f>MOD(INT(G13/POWER(2,1)),2)</f>
        <v/>
      </c>
      <c r="Y13" s="13">
        <f>MOD(INT(G13/POWER(2,0)),2)</f>
        <v/>
      </c>
    </row>
    <row r="14">
      <c r="A14" s="11" t="inlineStr">
        <is>
          <t>X11 =</t>
        </is>
      </c>
      <c r="B14" s="16" t="inlineStr">
        <is>
          <t>-X5=</t>
        </is>
      </c>
      <c r="C14" s="12">
        <f>-C8</f>
        <v/>
      </c>
      <c r="D14" s="13" t="n"/>
      <c r="E14" s="11" t="inlineStr">
        <is>
          <t>B11=</t>
        </is>
      </c>
      <c r="F14" s="14">
        <f>MOD(C14, 65536)</f>
        <v/>
      </c>
      <c r="G14" s="15">
        <f>MOD(INT(G14/POWER(2,15)),2)</f>
        <v/>
      </c>
      <c r="H14" s="15">
        <f>MOD(INT(G14/POWER(2,14)),2)</f>
        <v/>
      </c>
      <c r="I14" s="15">
        <f>MOD(INT(G14/POWER(2,13)),2)</f>
        <v/>
      </c>
      <c r="J14" s="15">
        <f>MOD(INT(G14/POWER(2,12)),2)</f>
        <v/>
      </c>
      <c r="K14" s="15" t="inlineStr">
        <is>
          <t>.</t>
        </is>
      </c>
      <c r="L14" s="15">
        <f>MOD(INT(G14/POWER(2,11)),2)</f>
        <v/>
      </c>
      <c r="M14" s="15">
        <f>MOD(INT(G14/POWER(2,10)),2)</f>
        <v/>
      </c>
      <c r="N14" s="15">
        <f>MOD(INT(G14/POWER(2,9)),2)</f>
        <v/>
      </c>
      <c r="O14" s="15">
        <f>MOD(INT(G14/POWER(2,8)),2)</f>
        <v/>
      </c>
      <c r="P14" s="15" t="inlineStr">
        <is>
          <t>.</t>
        </is>
      </c>
      <c r="Q14" s="15">
        <f>MOD(INT(G14/POWER(2,7)),2)</f>
        <v/>
      </c>
      <c r="R14" s="15">
        <f>MOD(INT(G14/POWER(2,6)),2)</f>
        <v/>
      </c>
      <c r="S14" s="15">
        <f>MOD(INT(G14/POWER(2,5)),2)</f>
        <v/>
      </c>
      <c r="T14" s="15">
        <f>MOD(INT(G14/POWER(2,4)),2)</f>
        <v/>
      </c>
      <c r="U14" s="15" t="inlineStr">
        <is>
          <t>.</t>
        </is>
      </c>
      <c r="V14" s="15">
        <f>MOD(INT(G14/POWER(2,3)),2)</f>
        <v/>
      </c>
      <c r="W14" s="15">
        <f>MOD(INT(G14/POWER(2,2)),2)</f>
        <v/>
      </c>
      <c r="X14" s="15">
        <f>MOD(INT(G14/POWER(2,1)),2)</f>
        <v/>
      </c>
      <c r="Y14" s="13">
        <f>MOD(INT(G14/POWER(2,0)),2)</f>
        <v/>
      </c>
    </row>
    <row r="15">
      <c r="A15" s="11" t="inlineStr">
        <is>
          <t>X12 =</t>
        </is>
      </c>
      <c r="B15" s="16" t="inlineStr">
        <is>
          <t>-X6=</t>
        </is>
      </c>
      <c r="C15" s="12">
        <f>-C9</f>
        <v/>
      </c>
      <c r="D15" s="13" t="n"/>
      <c r="E15" s="11" t="inlineStr">
        <is>
          <t>B12=</t>
        </is>
      </c>
      <c r="F15" s="14">
        <f>MOD(C15, 65536)</f>
        <v/>
      </c>
      <c r="G15" s="15">
        <f>MOD(INT(G15/POWER(2,15)),2)</f>
        <v/>
      </c>
      <c r="H15" s="15">
        <f>MOD(INT(G15/POWER(2,14)),2)</f>
        <v/>
      </c>
      <c r="I15" s="15">
        <f>MOD(INT(G15/POWER(2,13)),2)</f>
        <v/>
      </c>
      <c r="J15" s="15">
        <f>MOD(INT(G15/POWER(2,12)),2)</f>
        <v/>
      </c>
      <c r="K15" s="15" t="inlineStr">
        <is>
          <t>.</t>
        </is>
      </c>
      <c r="L15" s="15">
        <f>MOD(INT(G15/POWER(2,11)),2)</f>
        <v/>
      </c>
      <c r="M15" s="15">
        <f>MOD(INT(G15/POWER(2,10)),2)</f>
        <v/>
      </c>
      <c r="N15" s="15">
        <f>MOD(INT(G15/POWER(2,9)),2)</f>
        <v/>
      </c>
      <c r="O15" s="15">
        <f>MOD(INT(G15/POWER(2,8)),2)</f>
        <v/>
      </c>
      <c r="P15" s="15" t="inlineStr">
        <is>
          <t>.</t>
        </is>
      </c>
      <c r="Q15" s="15">
        <f>MOD(INT(G15/POWER(2,7)),2)</f>
        <v/>
      </c>
      <c r="R15" s="15">
        <f>MOD(INT(G15/POWER(2,6)),2)</f>
        <v/>
      </c>
      <c r="S15" s="15">
        <f>MOD(INT(G15/POWER(2,5)),2)</f>
        <v/>
      </c>
      <c r="T15" s="15">
        <f>MOD(INT(G15/POWER(2,4)),2)</f>
        <v/>
      </c>
      <c r="U15" s="15" t="inlineStr">
        <is>
          <t>.</t>
        </is>
      </c>
      <c r="V15" s="15">
        <f>MOD(INT(G15/POWER(2,3)),2)</f>
        <v/>
      </c>
      <c r="W15" s="15">
        <f>MOD(INT(G15/POWER(2,2)),2)</f>
        <v/>
      </c>
      <c r="X15" s="15">
        <f>MOD(INT(G15/POWER(2,1)),2)</f>
        <v/>
      </c>
      <c r="Y15" s="13">
        <f>MOD(INT(G15/POWER(2,0)),2)</f>
        <v/>
      </c>
    </row>
    <row r="16"/>
    <row r="17">
      <c r="F17" s="4" t="n"/>
      <c r="G17">
        <f>IF(I17+I18+I19&gt;=2,1,0)</f>
        <v/>
      </c>
      <c r="H17">
        <f>IF(J17+J18+J19&gt;=2,1,0)</f>
        <v/>
      </c>
      <c r="I17">
        <f>IF(K17+K18+K19&gt;=2,1,0)</f>
        <v/>
      </c>
      <c r="J17">
        <f>IF(M17+M18+M19&gt;=2,1,0)</f>
        <v/>
      </c>
      <c r="K17" t="inlineStr">
        <is>
          <t>.</t>
        </is>
      </c>
      <c r="L17">
        <f>IF(N17+N18+N19&gt;=2,1,0)</f>
        <v/>
      </c>
      <c r="M17">
        <f>IF(O17+O18+O19&gt;=2,1,0)</f>
        <v/>
      </c>
      <c r="N17">
        <f>IF(P17+P18+P19&gt;=2,1,0)</f>
        <v/>
      </c>
      <c r="O17">
        <f>IF(R17+R18+R19&gt;=2,1,0)</f>
        <v/>
      </c>
      <c r="P17" t="inlineStr">
        <is>
          <t>.</t>
        </is>
      </c>
      <c r="Q17">
        <f>IF(S17+S18+S19&gt;=2,1,0)</f>
        <v/>
      </c>
      <c r="R17">
        <f>IF(T17+T18+T19&gt;=2,1,0)</f>
        <v/>
      </c>
      <c r="S17">
        <f>IF(U17+U18+U19&gt;=2,1,0)</f>
        <v/>
      </c>
      <c r="T17">
        <f>IF(W17+W18+W19&gt;=2,1,0)</f>
        <v/>
      </c>
      <c r="U17" t="inlineStr">
        <is>
          <t>.</t>
        </is>
      </c>
      <c r="V17">
        <f>IF(X17+X18+X19&gt;=2,1,0)</f>
        <v/>
      </c>
      <c r="W17">
        <f>IF(Y17+Y18+Y19&gt;=2,1,0)</f>
        <v/>
      </c>
      <c r="X17">
        <f>IF(Z17+Z18+Z19&gt;=2,1,0)</f>
        <v/>
      </c>
      <c r="Y17">
        <f>IF(AB17+AB18+AB19&gt;=2,1,0)</f>
        <v/>
      </c>
    </row>
    <row r="18" ht="14.25" customHeight="1">
      <c r="E18" s="1" t="inlineStr">
        <is>
          <t>B1</t>
        </is>
      </c>
      <c r="G18">
        <f>H4</f>
        <v/>
      </c>
      <c r="H18">
        <f>I4</f>
        <v/>
      </c>
      <c r="I18">
        <f>J4</f>
        <v/>
      </c>
      <c r="J18">
        <f>K4</f>
        <v/>
      </c>
      <c r="K18">
        <f>L4</f>
        <v/>
      </c>
      <c r="L18">
        <f>M4</f>
        <v/>
      </c>
      <c r="M18">
        <f>N4</f>
        <v/>
      </c>
      <c r="N18">
        <f>O4</f>
        <v/>
      </c>
      <c r="O18">
        <f>P4</f>
        <v/>
      </c>
      <c r="P18">
        <f>Q4</f>
        <v/>
      </c>
      <c r="Q18">
        <f>R4</f>
        <v/>
      </c>
      <c r="R18">
        <f>S4</f>
        <v/>
      </c>
      <c r="S18">
        <f>T4</f>
        <v/>
      </c>
      <c r="T18">
        <f>U4</f>
        <v/>
      </c>
      <c r="U18">
        <f>V4</f>
        <v/>
      </c>
      <c r="V18">
        <f>W4</f>
        <v/>
      </c>
      <c r="W18">
        <f>X4</f>
        <v/>
      </c>
      <c r="X18">
        <f>Y4</f>
        <v/>
      </c>
      <c r="Y18">
        <f>Z4</f>
        <v/>
      </c>
      <c r="AC18" s="1" t="inlineStr">
        <is>
          <t>X1</t>
        </is>
      </c>
      <c r="AD18">
        <f>C4</f>
        <v/>
      </c>
      <c r="AF18" s="9" t="inlineStr">
        <is>
          <t>При сложении двух положительных слагаемых получено положительное число. Результат выполнения операции верный и корректный, совпадает с суммой десятичных эквивалентов.</t>
        </is>
      </c>
    </row>
    <row r="19" ht="15.75" customHeight="1">
      <c r="D19" s="6" t="inlineStr">
        <is>
          <t>+</t>
        </is>
      </c>
      <c r="E19" s="10" t="inlineStr">
        <is>
          <t>B2</t>
        </is>
      </c>
      <c r="F19" s="6" t="n"/>
      <c r="G19" s="6">
        <f>H5</f>
        <v/>
      </c>
      <c r="H19" s="6">
        <f>I5</f>
        <v/>
      </c>
      <c r="I19" s="6">
        <f>J5</f>
        <v/>
      </c>
      <c r="J19" s="6">
        <f>K5</f>
        <v/>
      </c>
      <c r="K19" s="6">
        <f>L5</f>
        <v/>
      </c>
      <c r="L19" s="6">
        <f>M5</f>
        <v/>
      </c>
      <c r="M19" s="6">
        <f>N5</f>
        <v/>
      </c>
      <c r="N19" s="6">
        <f>O5</f>
        <v/>
      </c>
      <c r="O19" s="6">
        <f>P5</f>
        <v/>
      </c>
      <c r="P19" s="6">
        <f>Q5</f>
        <v/>
      </c>
      <c r="Q19" s="6">
        <f>R5</f>
        <v/>
      </c>
      <c r="R19" s="6">
        <f>S5</f>
        <v/>
      </c>
      <c r="S19" s="6">
        <f>T5</f>
        <v/>
      </c>
      <c r="T19" s="6">
        <f>U5</f>
        <v/>
      </c>
      <c r="U19" s="6">
        <f>V5</f>
        <v/>
      </c>
      <c r="V19" s="6">
        <f>W5</f>
        <v/>
      </c>
      <c r="W19" s="6">
        <f>X5</f>
        <v/>
      </c>
      <c r="X19" s="6">
        <f>Y5</f>
        <v/>
      </c>
      <c r="Y19" s="6">
        <f>Z5</f>
        <v/>
      </c>
      <c r="AB19" s="7" t="inlineStr">
        <is>
          <t>+</t>
        </is>
      </c>
      <c r="AC19" s="7" t="inlineStr">
        <is>
          <t>X2</t>
        </is>
      </c>
      <c r="AD19" s="6">
        <f>C5</f>
        <v/>
      </c>
    </row>
    <row r="20">
      <c r="D20" s="4" t="n"/>
      <c r="G20">
        <f>IF(H17+H18+H19=2,0,IF(OR(H17+H18+H19=1,H17+H18+H19=3),1,0))</f>
        <v/>
      </c>
      <c r="H20">
        <f>IF(I17+I18+I19=2,0,IF(OR(I17+I18+I19=1,I17+I18+I19=3),1,0))</f>
        <v/>
      </c>
      <c r="I20">
        <f>IF(J17+J18+J19=2,0,IF(OR(J17+J18+J19=1,J17+J18+J19=3),1,0))</f>
        <v/>
      </c>
      <c r="J20">
        <f>IF(K17+K18+K19=2,0,IF(OR(K17+K18+K19=1,K17+K18+K19=3),1,0))</f>
        <v/>
      </c>
      <c r="K20" t="inlineStr">
        <is>
          <t>.</t>
        </is>
      </c>
      <c r="L20">
        <f>IF(M17+M18+M19=2,0,IF(OR(M17+M18+M19=1,M17+M18+M19=3),1,0))</f>
        <v/>
      </c>
      <c r="M20">
        <f>IF(N17+N18+N19=2,0,IF(OR(N17+N18+N19=1,N17+N18+N19=3),1,0))</f>
        <v/>
      </c>
      <c r="N20">
        <f>IF(O17+O18+O19=2,0,IF(OR(O17+O18+O19=1,O17+O18+O19=3),1,0))</f>
        <v/>
      </c>
      <c r="O20">
        <f>IF(P17+P18+P19=2,0,IF(OR(P17+P18+P19=1,P17+P18+P19=3),1,0))</f>
        <v/>
      </c>
      <c r="P20" t="inlineStr">
        <is>
          <t>.</t>
        </is>
      </c>
      <c r="Q20">
        <f>IF(R17+R18+R19=2,0,IF(OR(R17+R18+R19=1,R17+R18+R19=3),1,0))</f>
        <v/>
      </c>
      <c r="R20">
        <f>IF(S17+S18+S19=2,0,IF(OR(S17+S18+S19=1,S17+S18+S19=3),1,0))</f>
        <v/>
      </c>
      <c r="S20">
        <f>IF(T17+T18+T19=2,0,IF(OR(T17+T18+T19=1,T17+T18+T19=3),1,0))</f>
        <v/>
      </c>
      <c r="T20">
        <f>IF(U17+U18+U19=2,0,IF(OR(U17+U18+U19=1,U17+U18+U19=3),1,0))</f>
        <v/>
      </c>
      <c r="U20" t="inlineStr">
        <is>
          <t>.</t>
        </is>
      </c>
      <c r="V20">
        <f>IF(W17+W18+W19=2,0,IF(OR(W17+W18+W19=1,W17+W18+W19=3),1,0))</f>
        <v/>
      </c>
      <c r="W20">
        <f>IF(X17+X18+X19=2,0,IF(OR(X17+X18+X19=1,X17+X18+X19=3),1,0))</f>
        <v/>
      </c>
      <c r="X20">
        <f>IF(Y17+Y18+Y19=2,0,IF(OR(Y17+Y18+Y19=1,Y17+Y18+Y19=3),1,0))</f>
        <v/>
      </c>
      <c r="Y20">
        <f>IF(Z17+Z18+Z19=2,0,IF(OR(Z17+Z18+Z19=1,Z17+Z18+Z19=3),1,0))</f>
        <v/>
      </c>
      <c r="Z20" t="inlineStr">
        <is>
          <t>=</t>
        </is>
      </c>
      <c r="AA20">
        <f>-BIN2DEC(_xlfn.NUMBERVALUE(H20))*2^15+BIN2DEC(_xlfn.NUMBERVALUE(I20&amp;J20&amp;K20&amp;M20&amp;N20&amp;O20&amp;P20))*2^8+BIN2DEC(_xlfn.NUMBERVALUE(R20&amp;S20&amp;T20&amp;U20&amp;W20&amp;X20&amp;Y20&amp;Z20))</f>
        <v/>
      </c>
      <c r="AD20">
        <f>AE18+AE19</f>
        <v/>
      </c>
    </row>
    <row r="21">
      <c r="D21" s="4" t="n"/>
    </row>
    <row r="22">
      <c r="F22" s="1" t="inlineStr">
        <is>
          <t>CF=</t>
        </is>
      </c>
      <c r="G22">
        <f>IF(H17+H18+H19&gt;=2,1,0)</f>
        <v/>
      </c>
      <c r="H22" t="inlineStr">
        <is>
          <t>PF=</t>
        </is>
      </c>
      <c r="J22">
        <f>IF(MOD(SUM(R20:U20,W20:Z20),2)=0,1,0)</f>
        <v/>
      </c>
      <c r="L22" t="inlineStr">
        <is>
          <t>AF=</t>
        </is>
      </c>
      <c r="N22">
        <f>U17</f>
        <v/>
      </c>
      <c r="O22" t="inlineStr">
        <is>
          <t>ZF=</t>
        </is>
      </c>
      <c r="Q22">
        <f>IF(SUM(H20:K20,M20:P20,R20:U20,W20:Z20)=0,1,0)</f>
        <v/>
      </c>
      <c r="R22" t="inlineStr">
        <is>
          <t>SF=</t>
        </is>
      </c>
      <c r="S22">
        <f>H20</f>
        <v/>
      </c>
      <c r="V22" t="inlineStr">
        <is>
          <t>OF=</t>
        </is>
      </c>
      <c r="W22">
        <f>IF(_xlfn.BITAND(AE20&gt;=-32768,AE20&lt;=32767),0,1)</f>
        <v/>
      </c>
    </row>
    <row r="23"/>
    <row r="24">
      <c r="F24" s="4" t="n"/>
      <c r="G24">
        <f>IF(I24+I25+I26&gt;=2,1,0)</f>
        <v/>
      </c>
      <c r="H24">
        <f>IF(J24+J25+J26&gt;=2,1,0)</f>
        <v/>
      </c>
      <c r="I24">
        <f>IF(K24+K25+K26&gt;=2,1,0)</f>
        <v/>
      </c>
      <c r="J24">
        <f>IF(M24+M25+M26&gt;=2,1,0)</f>
        <v/>
      </c>
      <c r="K24" t="inlineStr">
        <is>
          <t>.</t>
        </is>
      </c>
      <c r="L24">
        <f>IF(N24+N25+N26&gt;=2,1,0)</f>
        <v/>
      </c>
      <c r="M24">
        <f>IF(O24+O25+O26&gt;=2,1,0)</f>
        <v/>
      </c>
      <c r="N24">
        <f>IF(P24+P25+P26&gt;=2,1,0)</f>
        <v/>
      </c>
      <c r="O24">
        <f>IF(R24+R25+R26&gt;=2,1,0)</f>
        <v/>
      </c>
      <c r="P24" t="inlineStr">
        <is>
          <t>.</t>
        </is>
      </c>
      <c r="Q24">
        <f>IF(S24+S25+S26&gt;=2,1,0)</f>
        <v/>
      </c>
      <c r="R24">
        <f>IF(T24+T25+T26&gt;=2,1,0)</f>
        <v/>
      </c>
      <c r="S24">
        <f>IF(U24+U25+U26&gt;=2,1,0)</f>
        <v/>
      </c>
      <c r="T24">
        <f>IF(W24+W25+W26&gt;=2,1,0)</f>
        <v/>
      </c>
      <c r="U24" t="inlineStr">
        <is>
          <t>.</t>
        </is>
      </c>
      <c r="V24">
        <f>IF(X24+X25+X26&gt;=2,1,0)</f>
        <v/>
      </c>
      <c r="W24">
        <f>IF(Y24+Y25+Y26&gt;=2,1,0)</f>
        <v/>
      </c>
      <c r="X24">
        <f>IF(Z24+Z25+Z26&gt;=2,1,0)</f>
        <v/>
      </c>
      <c r="Y24">
        <f>IF(AB23+AB25+AB26&gt;=2,1,0)</f>
        <v/>
      </c>
    </row>
    <row r="25" ht="14.25" customHeight="1">
      <c r="E25" s="1" t="inlineStr">
        <is>
          <t>B2</t>
        </is>
      </c>
      <c r="G25">
        <f>H5</f>
        <v/>
      </c>
      <c r="H25">
        <f>I5</f>
        <v/>
      </c>
      <c r="I25">
        <f>J5</f>
        <v/>
      </c>
      <c r="J25">
        <f>K5</f>
        <v/>
      </c>
      <c r="K25">
        <f>L5</f>
        <v/>
      </c>
      <c r="L25">
        <f>M5</f>
        <v/>
      </c>
      <c r="M25">
        <f>N5</f>
        <v/>
      </c>
      <c r="N25">
        <f>O5</f>
        <v/>
      </c>
      <c r="O25">
        <f>P5</f>
        <v/>
      </c>
      <c r="P25">
        <f>Q5</f>
        <v/>
      </c>
      <c r="Q25">
        <f>R5</f>
        <v/>
      </c>
      <c r="R25">
        <f>S5</f>
        <v/>
      </c>
      <c r="S25">
        <f>T5</f>
        <v/>
      </c>
      <c r="T25">
        <f>U5</f>
        <v/>
      </c>
      <c r="U25">
        <f>V5</f>
        <v/>
      </c>
      <c r="V25">
        <f>W5</f>
        <v/>
      </c>
      <c r="W25">
        <f>X5</f>
        <v/>
      </c>
      <c r="X25">
        <f>Y5</f>
        <v/>
      </c>
      <c r="Y25">
        <f>Z5</f>
        <v/>
      </c>
      <c r="AC25" s="1" t="inlineStr">
        <is>
          <t>X2</t>
        </is>
      </c>
      <c r="AD25">
        <f>C5</f>
        <v/>
      </c>
      <c r="AF25" t="inlineStr">
        <is>
          <t>При сложении положительных чисел получен отрицательный результат ПЕРЕПОЛНЕНИЕ!</t>
        </is>
      </c>
    </row>
    <row r="26">
      <c r="D26" s="6" t="inlineStr">
        <is>
          <t>+</t>
        </is>
      </c>
      <c r="E26" s="7" t="inlineStr">
        <is>
          <t>B3</t>
        </is>
      </c>
      <c r="F26" s="6" t="n"/>
      <c r="G26" s="6">
        <f>H6</f>
        <v/>
      </c>
      <c r="H26" s="6">
        <f>I6</f>
        <v/>
      </c>
      <c r="I26" s="6">
        <f>J6</f>
        <v/>
      </c>
      <c r="J26" s="6">
        <f>K6</f>
        <v/>
      </c>
      <c r="K26" s="6">
        <f>L6</f>
        <v/>
      </c>
      <c r="L26" s="6">
        <f>M6</f>
        <v/>
      </c>
      <c r="M26" s="6">
        <f>N6</f>
        <v/>
      </c>
      <c r="N26" s="6">
        <f>O6</f>
        <v/>
      </c>
      <c r="O26" s="6">
        <f>P6</f>
        <v/>
      </c>
      <c r="P26" s="6">
        <f>Q6</f>
        <v/>
      </c>
      <c r="Q26" s="6">
        <f>R6</f>
        <v/>
      </c>
      <c r="R26" s="6">
        <f>S6</f>
        <v/>
      </c>
      <c r="S26" s="6">
        <f>T6</f>
        <v/>
      </c>
      <c r="T26" s="6">
        <f>U6</f>
        <v/>
      </c>
      <c r="U26" s="6">
        <f>V6</f>
        <v/>
      </c>
      <c r="V26" s="6">
        <f>W6</f>
        <v/>
      </c>
      <c r="W26" s="6">
        <f>X6</f>
        <v/>
      </c>
      <c r="X26" s="6">
        <f>Y6</f>
        <v/>
      </c>
      <c r="Y26" s="6">
        <f>Z6</f>
        <v/>
      </c>
      <c r="AB26" s="7" t="inlineStr">
        <is>
          <t>+</t>
        </is>
      </c>
      <c r="AC26" s="7" t="inlineStr">
        <is>
          <t>X3</t>
        </is>
      </c>
      <c r="AD26" s="6">
        <f>C6</f>
        <v/>
      </c>
    </row>
    <row r="27">
      <c r="G27">
        <f>IF(H24+H25+H26=2,0,IF(OR(H24+H25+H26=1,H24+H25+H26=3),1,0))</f>
        <v/>
      </c>
      <c r="H27">
        <f>IF(I24+I25+I26=2,0,IF(OR(I24+I25+I26=1,I24+I25+I26=3),1,0))</f>
        <v/>
      </c>
      <c r="I27">
        <f>IF(J24+J25+J26=2,0,IF(OR(J24+J25+J26=1,J24+J25+J26=3),1,0))</f>
        <v/>
      </c>
      <c r="J27">
        <f>IF(K24+K25+K26=2,0,IF(OR(K24+K25+K26=1,K24+K25+K26=3),1,0))</f>
        <v/>
      </c>
      <c r="K27" t="inlineStr">
        <is>
          <t>.</t>
        </is>
      </c>
      <c r="L27">
        <f>IF(M24+M25+M26=2,0,IF(OR(M24+M25+M26=1,M24+M25+M26=3),1,0))</f>
        <v/>
      </c>
      <c r="M27">
        <f>IF(N24+N25+N26=2,0,IF(OR(N24+N25+N26=1,N24+N25+N26=3),1,0))</f>
        <v/>
      </c>
      <c r="N27">
        <f>IF(O24+O25+O26=2,0,IF(OR(O24+O25+O26=1,O24+O25+O26=3),1,0))</f>
        <v/>
      </c>
      <c r="O27">
        <f>IF(P24+P25+P26=2,0,IF(OR(P24+P25+P26=1,P24+P25+P26=3),1,0))</f>
        <v/>
      </c>
      <c r="P27" t="inlineStr">
        <is>
          <t>.</t>
        </is>
      </c>
      <c r="Q27">
        <f>IF(R24+R25+R26=2,0,IF(OR(R24+R25+R26=1,R24+R25+R26=3),1,0))</f>
        <v/>
      </c>
      <c r="R27">
        <f>IF(S24+S25+S26=2,0,IF(OR(S24+S25+S26=1,S24+S25+S26=3),1,0))</f>
        <v/>
      </c>
      <c r="S27">
        <f>IF(T24+T25+T26=2,0,IF(OR(T24+T25+T26=1,T24+T25+T26=3),1,0))</f>
        <v/>
      </c>
      <c r="T27">
        <f>IF(U24+U25+U26=2,0,IF(OR(U24+U25+U26=1,U24+U25+U26=3),1,0))</f>
        <v/>
      </c>
      <c r="U27" t="inlineStr">
        <is>
          <t>.</t>
        </is>
      </c>
      <c r="V27">
        <f>IF(W24+W25+W26=2,0,IF(OR(W24+W25+W26=1,W24+W25+W26=3),1,0))</f>
        <v/>
      </c>
      <c r="W27">
        <f>IF(X24+X25+X26=2,0,IF(OR(X24+X25+X26=1,X24+X25+X26=3),1,0))</f>
        <v/>
      </c>
      <c r="X27">
        <f>IF(Y24+Y25+Y26=2,0,IF(OR(Y24+Y25+Y26=1,Y24+Y25+Y26=3),1,0))</f>
        <v/>
      </c>
      <c r="Y27">
        <f>IF(Z24+Z25+Z26=2,0,IF(OR(Z24+Z25+Z26=1,Z24+Z25+Z26=3),1,0))</f>
        <v/>
      </c>
      <c r="Z27" t="inlineStr">
        <is>
          <t>=</t>
        </is>
      </c>
      <c r="AA27">
        <f>-BIN2DEC(_xlfn.NUMBERVALUE(H27))*2^15+BIN2DEC(_xlfn.NUMBERVALUE(I27&amp;J27&amp;K27&amp;M27&amp;N27&amp;O27&amp;P27))*2^8+BIN2DEC(_xlfn.NUMBERVALUE(R27&amp;S27&amp;T27&amp;U27&amp;W27&amp;X27&amp;Y27&amp;Z27))</f>
        <v/>
      </c>
      <c r="AD27">
        <f>AE25+AE26</f>
        <v/>
      </c>
    </row>
    <row r="28"/>
    <row r="29">
      <c r="F29" s="1" t="inlineStr">
        <is>
          <t>CF=</t>
        </is>
      </c>
      <c r="G29">
        <f>IF(H24+H25+H26&gt;=2,1,0)</f>
        <v/>
      </c>
      <c r="H29" t="inlineStr">
        <is>
          <t>PF=</t>
        </is>
      </c>
      <c r="J29">
        <f>IF(MOD(SUM(R27:U27,W27:Z27),2)=0,1,0)</f>
        <v/>
      </c>
      <c r="L29" t="inlineStr">
        <is>
          <t>AF=</t>
        </is>
      </c>
      <c r="N29">
        <f>U24</f>
        <v/>
      </c>
      <c r="O29" t="inlineStr">
        <is>
          <t>ZF=</t>
        </is>
      </c>
      <c r="Q29">
        <f>IF(SUM(H27:K27,M27:P27,R27:U27,W27:Z27)=0,1,0)</f>
        <v/>
      </c>
      <c r="R29" t="inlineStr">
        <is>
          <t>SF=</t>
        </is>
      </c>
      <c r="S29">
        <f>H27</f>
        <v/>
      </c>
      <c r="V29" t="inlineStr">
        <is>
          <t>OF=</t>
        </is>
      </c>
      <c r="W29">
        <f>IF(_xlfn.BITAND(AE27&gt;=-32768,AE27&lt;=32767),0,1)</f>
        <v/>
      </c>
    </row>
    <row r="30"/>
    <row r="31">
      <c r="F31" s="4" t="n"/>
      <c r="G31">
        <f>IF(I31+I32+I33&gt;=2,1,0)</f>
        <v/>
      </c>
      <c r="H31">
        <f>IF(J31+J32+J33&gt;=2,1,0)</f>
        <v/>
      </c>
      <c r="I31">
        <f>IF(K31+K32+K33&gt;=2,1,0)</f>
        <v/>
      </c>
      <c r="J31">
        <f>IF(M31+M32+M33&gt;=2,1,0)</f>
        <v/>
      </c>
      <c r="K31" t="inlineStr">
        <is>
          <t>.</t>
        </is>
      </c>
      <c r="L31">
        <f>IF(N31+N32+N33&gt;=2,1,0)</f>
        <v/>
      </c>
      <c r="M31">
        <f>IF(O31+O32+O33&gt;=2,1,0)</f>
        <v/>
      </c>
      <c r="N31">
        <f>IF(P31+P32+P33&gt;=2,1,0)</f>
        <v/>
      </c>
      <c r="O31">
        <f>IF(R31+R32+R33&gt;=2,1,0)</f>
        <v/>
      </c>
      <c r="P31" t="inlineStr">
        <is>
          <t>.</t>
        </is>
      </c>
      <c r="Q31">
        <f>IF(S31+S32+S33&gt;=2,1,0)</f>
        <v/>
      </c>
      <c r="R31">
        <f>IF(T31+T32+T33&gt;=2,1,0)</f>
        <v/>
      </c>
      <c r="S31">
        <f>IF(U31+U32+U33&gt;=2,1,0)</f>
        <v/>
      </c>
      <c r="T31">
        <f>IF(W31+W32+W33&gt;=2,1,0)</f>
        <v/>
      </c>
      <c r="U31" t="inlineStr">
        <is>
          <t>.</t>
        </is>
      </c>
      <c r="V31">
        <f>IF(X31+X32+X33&gt;=2,1,0)</f>
        <v/>
      </c>
      <c r="W31">
        <f>IF(Y31+Y32+Y33&gt;=2,1,0)</f>
        <v/>
      </c>
      <c r="X31">
        <f>IF(Z31+Z32+Z33&gt;=2,1,0)</f>
        <v/>
      </c>
      <c r="Y31">
        <f>IF(AB31+AB32+AB33&gt;=2,1,0)</f>
        <v/>
      </c>
    </row>
    <row r="32">
      <c r="E32" s="1" t="inlineStr">
        <is>
          <t>B2</t>
        </is>
      </c>
      <c r="G32">
        <f>H5</f>
        <v/>
      </c>
      <c r="H32">
        <f>I5</f>
        <v/>
      </c>
      <c r="I32">
        <f>J5</f>
        <v/>
      </c>
      <c r="J32">
        <f>K5</f>
        <v/>
      </c>
      <c r="K32">
        <f>L5</f>
        <v/>
      </c>
      <c r="L32">
        <f>M5</f>
        <v/>
      </c>
      <c r="M32">
        <f>N5</f>
        <v/>
      </c>
      <c r="N32">
        <f>O5</f>
        <v/>
      </c>
      <c r="O32">
        <f>P5</f>
        <v/>
      </c>
      <c r="P32">
        <f>Q5</f>
        <v/>
      </c>
      <c r="Q32">
        <f>R5</f>
        <v/>
      </c>
      <c r="R32">
        <f>S5</f>
        <v/>
      </c>
      <c r="S32">
        <f>T5</f>
        <v/>
      </c>
      <c r="T32">
        <f>U5</f>
        <v/>
      </c>
      <c r="U32">
        <f>V5</f>
        <v/>
      </c>
      <c r="V32">
        <f>W5</f>
        <v/>
      </c>
      <c r="W32">
        <f>X5</f>
        <v/>
      </c>
      <c r="X32">
        <f>Y5</f>
        <v/>
      </c>
      <c r="Y32">
        <f>Z5</f>
        <v/>
      </c>
      <c r="AC32" s="1" t="inlineStr">
        <is>
          <t>X2</t>
        </is>
      </c>
      <c r="AD32">
        <f>C5</f>
        <v/>
      </c>
    </row>
    <row r="33">
      <c r="D33" s="6" t="inlineStr">
        <is>
          <t>+</t>
        </is>
      </c>
      <c r="E33" s="7" t="inlineStr">
        <is>
          <t>B7</t>
        </is>
      </c>
      <c r="F33" s="6" t="n"/>
      <c r="G33" s="6">
        <f>H10</f>
        <v/>
      </c>
      <c r="H33" s="6">
        <f>I10</f>
        <v/>
      </c>
      <c r="I33" s="6">
        <f>J10</f>
        <v/>
      </c>
      <c r="J33" s="6">
        <f>K10</f>
        <v/>
      </c>
      <c r="K33" s="6">
        <f>L10</f>
        <v/>
      </c>
      <c r="L33" s="6">
        <f>M10</f>
        <v/>
      </c>
      <c r="M33" s="6">
        <f>N10</f>
        <v/>
      </c>
      <c r="N33" s="6">
        <f>O10</f>
        <v/>
      </c>
      <c r="O33" s="6">
        <f>P10</f>
        <v/>
      </c>
      <c r="P33" s="6">
        <f>Q10</f>
        <v/>
      </c>
      <c r="Q33" s="6">
        <f>R10</f>
        <v/>
      </c>
      <c r="R33" s="6">
        <f>S10</f>
        <v/>
      </c>
      <c r="S33" s="6">
        <f>T10</f>
        <v/>
      </c>
      <c r="T33" s="6">
        <f>U10</f>
        <v/>
      </c>
      <c r="U33" s="6">
        <f>V10</f>
        <v/>
      </c>
      <c r="V33" s="6">
        <f>W10</f>
        <v/>
      </c>
      <c r="W33" s="6">
        <f>X10</f>
        <v/>
      </c>
      <c r="X33" s="6">
        <f>Y10</f>
        <v/>
      </c>
      <c r="Y33" s="6">
        <f>Z10</f>
        <v/>
      </c>
      <c r="AB33" s="7" t="inlineStr">
        <is>
          <t>+</t>
        </is>
      </c>
      <c r="AC33" s="7" t="inlineStr">
        <is>
          <t>X7</t>
        </is>
      </c>
      <c r="AD33" s="6">
        <f>C10</f>
        <v/>
      </c>
      <c r="AF33" t="inlineStr">
        <is>
          <t>Результат корректный. Перенос из старшего разряда не учитывается</t>
        </is>
      </c>
    </row>
    <row r="34">
      <c r="G34">
        <f>IF(H31+H32+H33=2,0,IF(OR(H31+H32+H33=1,H31+H32+H33=3),1,0))</f>
        <v/>
      </c>
      <c r="H34">
        <f>IF(I31+I32+I33=2,0,IF(OR(I31+I32+I33=1,I31+I32+I33=3),1,0))</f>
        <v/>
      </c>
      <c r="I34">
        <f>IF(J31+J32+J33=2,0,IF(OR(J31+J32+J33=1,J31+J32+J33=3),1,0))</f>
        <v/>
      </c>
      <c r="J34">
        <f>IF(K31+K32+K33=2,0,IF(OR(K31+K32+K33=1,K31+K32+K33=3),1,0))</f>
        <v/>
      </c>
      <c r="K34" t="inlineStr">
        <is>
          <t>.</t>
        </is>
      </c>
      <c r="L34">
        <f>IF(M31+M32+M33=2,0,IF(OR(M31+M32+M33=1,M31+M32+M33=3),1,0))</f>
        <v/>
      </c>
      <c r="M34">
        <f>IF(N31+N32+N33=2,0,IF(OR(N31+N32+N33=1,N31+N32+N33=3),1,0))</f>
        <v/>
      </c>
      <c r="N34">
        <f>IF(O31+O32+O33=2,0,IF(OR(O31+O32+O33=1,O31+O32+O33=3),1,0))</f>
        <v/>
      </c>
      <c r="O34">
        <f>IF(P31+P32+P33=2,0,IF(OR(P31+P32+P33=1,P31+P32+P33=3),1,0))</f>
        <v/>
      </c>
      <c r="P34" t="inlineStr">
        <is>
          <t>.</t>
        </is>
      </c>
      <c r="Q34">
        <f>IF(R31+R32+R33=2,0,IF(OR(R31+R32+R33=1,R31+R32+R33=3),1,0))</f>
        <v/>
      </c>
      <c r="R34">
        <f>IF(S31+S32+S33=2,0,IF(OR(S31+S32+S33=1,S31+S32+S33=3),1,0))</f>
        <v/>
      </c>
      <c r="S34">
        <f>IF(T31+T32+T33=2,0,IF(OR(T31+T32+T33=1,T31+T32+T33=3),1,0))</f>
        <v/>
      </c>
      <c r="T34">
        <f>IF(U31+U32+U33=2,0,IF(OR(U31+U32+U33=1,U31+U32+U33=3),1,0))</f>
        <v/>
      </c>
      <c r="U34" t="inlineStr">
        <is>
          <t>.</t>
        </is>
      </c>
      <c r="V34">
        <f>IF(W31+W32+W33=2,0,IF(OR(W31+W32+W33=1,W31+W32+W33=3),1,0))</f>
        <v/>
      </c>
      <c r="W34">
        <f>IF(X31+X32+X33=2,0,IF(OR(X31+X32+X33=1,X31+X32+X33=3),1,0))</f>
        <v/>
      </c>
      <c r="X34">
        <f>IF(Y31+Y32+Y33=2,0,IF(OR(Y31+Y32+Y33=1,Y31+Y32+Y33=3),1,0))</f>
        <v/>
      </c>
      <c r="Y34">
        <f>IF(Z31+Z32+Z33=2,0,IF(OR(Z31+Z32+Z33=1,Z31+Z32+Z33=3),1,0))</f>
        <v/>
      </c>
      <c r="Z34" t="inlineStr">
        <is>
          <t>=</t>
        </is>
      </c>
      <c r="AA34">
        <f>-BIN2DEC(_xlfn.NUMBERVALUE(H34))*2^15+BIN2DEC(_xlfn.NUMBERVALUE(I34&amp;J34&amp;K34&amp;M34&amp;N34&amp;O34&amp;P34))*2^8+BIN2DEC(_xlfn.NUMBERVALUE(R34&amp;S34&amp;T34&amp;U34&amp;W34&amp;X34&amp;Y34&amp;Z34))</f>
        <v/>
      </c>
      <c r="AD34">
        <f>AE32+AE33</f>
        <v/>
      </c>
    </row>
    <row r="35"/>
    <row r="36">
      <c r="F36" s="1" t="inlineStr">
        <is>
          <t>CF=</t>
        </is>
      </c>
      <c r="G36">
        <f>IF(H31+H32+H33&gt;=2,1,0)</f>
        <v/>
      </c>
      <c r="H36" t="inlineStr">
        <is>
          <t>PF=</t>
        </is>
      </c>
      <c r="J36">
        <f>IF(MOD(SUM(R34:U34,W34:Z34),2)=0,1,0)</f>
        <v/>
      </c>
      <c r="L36" t="inlineStr">
        <is>
          <t>AF=</t>
        </is>
      </c>
      <c r="N36">
        <f>U31</f>
        <v/>
      </c>
      <c r="O36" t="inlineStr">
        <is>
          <t>ZF=</t>
        </is>
      </c>
      <c r="Q36">
        <f>IF(SUM(H34:K34,M34:P34,R34:U34,W34:Z34)=0,1,0)</f>
        <v/>
      </c>
      <c r="R36" t="inlineStr">
        <is>
          <t>SF=</t>
        </is>
      </c>
      <c r="S36">
        <f>H34</f>
        <v/>
      </c>
      <c r="V36" t="inlineStr">
        <is>
          <t>OF=</t>
        </is>
      </c>
      <c r="W36">
        <f>IF(_xlfn.BITAND(AE34&gt;=-32768,AE34&lt;=32767),0,1)</f>
        <v/>
      </c>
    </row>
    <row r="37"/>
    <row r="38">
      <c r="F38" s="4" t="n"/>
      <c r="G38">
        <f>IF(I38+I39+I40&gt;=2,1,0)</f>
        <v/>
      </c>
      <c r="H38">
        <f>IF(J38+J39+J40&gt;=2,1,0)</f>
        <v/>
      </c>
      <c r="I38">
        <f>IF(K38+K39+K40&gt;=2,1,0)</f>
        <v/>
      </c>
      <c r="J38">
        <f>IF(M38+M39+M40&gt;=2,1,0)</f>
        <v/>
      </c>
      <c r="K38" t="inlineStr">
        <is>
          <t>.</t>
        </is>
      </c>
      <c r="L38">
        <f>IF(N38+N39+N40&gt;=2,1,0)</f>
        <v/>
      </c>
      <c r="M38">
        <f>IF(O38+O39+O40&gt;=2,1,0)</f>
        <v/>
      </c>
      <c r="N38">
        <f>IF(P38+P39+P40&gt;=2,1,0)</f>
        <v/>
      </c>
      <c r="O38">
        <f>IF(R38+R39+R40&gt;=2,1,0)</f>
        <v/>
      </c>
      <c r="P38" t="inlineStr">
        <is>
          <t>.</t>
        </is>
      </c>
      <c r="Q38">
        <f>IF(S38+S39+S40&gt;=2,1,0)</f>
        <v/>
      </c>
      <c r="R38">
        <f>IF(T38+T39+T40&gt;=2,1,0)</f>
        <v/>
      </c>
      <c r="S38">
        <f>IF(U38+U39+U40&gt;=2,1,0)</f>
        <v/>
      </c>
      <c r="T38">
        <f>IF(W38+W39+W40&gt;=2,1,0)</f>
        <v/>
      </c>
      <c r="U38" t="inlineStr">
        <is>
          <t>.</t>
        </is>
      </c>
      <c r="V38">
        <f>IF(X38+X39+X40&gt;=2,1,0)</f>
        <v/>
      </c>
      <c r="W38">
        <f>IF(Y38+Y39+Y40&gt;=2,1,0)</f>
        <v/>
      </c>
      <c r="X38">
        <f>IF(Z38+Z39+Z40&gt;=2,1,0)</f>
        <v/>
      </c>
      <c r="Y38">
        <f>IF(AB38+AB39+AB40&gt;=2,1,0)</f>
        <v/>
      </c>
    </row>
    <row r="39">
      <c r="E39" s="1" t="inlineStr">
        <is>
          <t>B7</t>
        </is>
      </c>
      <c r="G39">
        <f>H10</f>
        <v/>
      </c>
      <c r="H39">
        <f>I10</f>
        <v/>
      </c>
      <c r="I39">
        <f>J10</f>
        <v/>
      </c>
      <c r="J39">
        <f>K10</f>
        <v/>
      </c>
      <c r="K39">
        <f>L10</f>
        <v/>
      </c>
      <c r="L39">
        <f>M10</f>
        <v/>
      </c>
      <c r="M39">
        <f>N10</f>
        <v/>
      </c>
      <c r="N39">
        <f>O10</f>
        <v/>
      </c>
      <c r="O39">
        <f>P10</f>
        <v/>
      </c>
      <c r="P39">
        <f>Q10</f>
        <v/>
      </c>
      <c r="Q39">
        <f>R10</f>
        <v/>
      </c>
      <c r="R39">
        <f>S10</f>
        <v/>
      </c>
      <c r="S39">
        <f>T10</f>
        <v/>
      </c>
      <c r="T39">
        <f>U10</f>
        <v/>
      </c>
      <c r="U39">
        <f>V10</f>
        <v/>
      </c>
      <c r="V39">
        <f>W10</f>
        <v/>
      </c>
      <c r="W39">
        <f>X10</f>
        <v/>
      </c>
      <c r="X39">
        <f>Y10</f>
        <v/>
      </c>
      <c r="Y39">
        <f>Z10</f>
        <v/>
      </c>
      <c r="AC39" s="1" t="inlineStr">
        <is>
          <t>X7</t>
        </is>
      </c>
      <c r="AD39">
        <f>C10</f>
        <v/>
      </c>
    </row>
    <row r="40">
      <c r="D40" s="6" t="inlineStr">
        <is>
          <t>+</t>
        </is>
      </c>
      <c r="E40" s="7" t="inlineStr">
        <is>
          <t>B8</t>
        </is>
      </c>
      <c r="F40" s="6" t="n"/>
      <c r="G40" s="6">
        <f>H11</f>
        <v/>
      </c>
      <c r="H40" s="6">
        <f>I11</f>
        <v/>
      </c>
      <c r="I40" s="6">
        <f>J11</f>
        <v/>
      </c>
      <c r="J40" s="6">
        <f>K11</f>
        <v/>
      </c>
      <c r="K40" s="6">
        <f>L11</f>
        <v/>
      </c>
      <c r="L40" s="6">
        <f>M11</f>
        <v/>
      </c>
      <c r="M40" s="6">
        <f>N11</f>
        <v/>
      </c>
      <c r="N40" s="6">
        <f>O11</f>
        <v/>
      </c>
      <c r="O40" s="6">
        <f>P11</f>
        <v/>
      </c>
      <c r="P40" s="6">
        <f>Q11</f>
        <v/>
      </c>
      <c r="Q40" s="6">
        <f>R11</f>
        <v/>
      </c>
      <c r="R40" s="6">
        <f>S11</f>
        <v/>
      </c>
      <c r="S40" s="6">
        <f>T11</f>
        <v/>
      </c>
      <c r="T40" s="6">
        <f>U11</f>
        <v/>
      </c>
      <c r="U40" s="6">
        <f>V11</f>
        <v/>
      </c>
      <c r="V40" s="6">
        <f>W11</f>
        <v/>
      </c>
      <c r="W40" s="6">
        <f>X11</f>
        <v/>
      </c>
      <c r="X40" s="6">
        <f>Y11</f>
        <v/>
      </c>
      <c r="Y40" s="6">
        <f>Z11</f>
        <v/>
      </c>
      <c r="AB40" s="7" t="inlineStr">
        <is>
          <t>+</t>
        </is>
      </c>
      <c r="AC40" s="7" t="inlineStr">
        <is>
          <t>X8</t>
        </is>
      </c>
      <c r="AD40" s="6">
        <f>C11</f>
        <v/>
      </c>
      <c r="AF40" t="inlineStr">
        <is>
          <t>Результат корректный. Перенос из старшего разряда не учитывается</t>
        </is>
      </c>
    </row>
    <row r="41">
      <c r="G41">
        <f>IF(H38+H39+H40=2,0,IF(OR(H38+H39+H40=1,H38+H39+H40=3),1,0))</f>
        <v/>
      </c>
      <c r="H41">
        <f>IF(I38+I39+I40=2,0,IF(OR(I38+I39+I40=1,I38+I39+I40=3),1,0))</f>
        <v/>
      </c>
      <c r="I41">
        <f>IF(J38+J39+J40=2,0,IF(OR(J38+J39+J40=1,J38+J39+J40=3),1,0))</f>
        <v/>
      </c>
      <c r="J41">
        <f>IF(K38+K39+K40=2,0,IF(OR(K38+K39+K40=1,K38+K39+K40=3),1,0))</f>
        <v/>
      </c>
      <c r="K41" t="inlineStr">
        <is>
          <t>.</t>
        </is>
      </c>
      <c r="L41">
        <f>IF(M38+M39+M40=2,0,IF(OR(M38+M39+M40=1,M38+M39+M40=3),1,0))</f>
        <v/>
      </c>
      <c r="M41">
        <f>IF(N38+N39+N40=2,0,IF(OR(N38+N39+N40=1,N38+N39+N40=3),1,0))</f>
        <v/>
      </c>
      <c r="N41">
        <f>IF(O38+O39+O40=2,0,IF(OR(O38+O39+O40=1,O38+O39+O40=3),1,0))</f>
        <v/>
      </c>
      <c r="O41">
        <f>IF(P38+P39+P40=2,0,IF(OR(P38+P39+P40=1,P38+P39+P40=3),1,0))</f>
        <v/>
      </c>
      <c r="P41" t="inlineStr">
        <is>
          <t>.</t>
        </is>
      </c>
      <c r="Q41">
        <f>IF(R38+R39+R40=2,0,IF(OR(R38+R39+R40=1,R38+R39+R40=3),1,0))</f>
        <v/>
      </c>
      <c r="R41">
        <f>IF(S38+S39+S40=2,0,IF(OR(S38+S39+S40=1,S38+S39+S40=3),1,0))</f>
        <v/>
      </c>
      <c r="S41">
        <f>IF(T38+T39+T40=2,0,IF(OR(T38+T39+T40=1,T38+T39+T40=3),1,0))</f>
        <v/>
      </c>
      <c r="T41">
        <f>IF(U38+U39+U40=2,0,IF(OR(U38+U39+U40=1,U38+U39+U40=3),1,0))</f>
        <v/>
      </c>
      <c r="U41" t="inlineStr">
        <is>
          <t>.</t>
        </is>
      </c>
      <c r="V41">
        <f>IF(W38+W39+W40=2,0,IF(OR(W38+W39+W40=1,W38+W39+W40=3),1,0))</f>
        <v/>
      </c>
      <c r="W41">
        <f>IF(X38+X39+X40=2,0,IF(OR(X38+X39+X40=1,X38+X39+X40=3),1,0))</f>
        <v/>
      </c>
      <c r="X41">
        <f>IF(Y38+Y39+Y40=2,0,IF(OR(Y38+Y39+Y40=1,Y38+Y39+Y40=3),1,0))</f>
        <v/>
      </c>
      <c r="Y41">
        <f>IF(Z38+Z39+Z40=2,0,IF(OR(Z38+Z39+Z40=1,Z38+Z39+Z40=3),1,0))</f>
        <v/>
      </c>
      <c r="Z41" t="inlineStr">
        <is>
          <t>=</t>
        </is>
      </c>
      <c r="AA41">
        <f>-BIN2DEC(_xlfn.NUMBERVALUE(H41))*2^15+BIN2DEC(_xlfn.NUMBERVALUE(I41&amp;J41&amp;K41&amp;M41&amp;N41&amp;O41&amp;P41))*2^8+BIN2DEC(_xlfn.NUMBERVALUE(R41&amp;S41&amp;T41&amp;U41&amp;W41&amp;X41&amp;Y41&amp;Z41))</f>
        <v/>
      </c>
      <c r="AD41">
        <f>AE39+AE40</f>
        <v/>
      </c>
    </row>
    <row r="42"/>
    <row r="43">
      <c r="F43" s="1" t="inlineStr">
        <is>
          <t>CF=</t>
        </is>
      </c>
      <c r="G43">
        <f>IF(H38+H39+H40&gt;=2,1,0)</f>
        <v/>
      </c>
      <c r="H43" t="inlineStr">
        <is>
          <t>PF=</t>
        </is>
      </c>
      <c r="J43">
        <f>IF(MOD(SUM(R41:U41,W41:Z41),2)=0,1,0)</f>
        <v/>
      </c>
      <c r="L43" t="inlineStr">
        <is>
          <t>AF=</t>
        </is>
      </c>
      <c r="N43">
        <f>U38</f>
        <v/>
      </c>
      <c r="O43" t="inlineStr">
        <is>
          <t>ZF=</t>
        </is>
      </c>
      <c r="Q43">
        <f>IF(SUM(H41:K41,M41:P41,R41:U41,W41:Z41)=0,1,0)</f>
        <v/>
      </c>
      <c r="R43" t="inlineStr">
        <is>
          <t>SF=</t>
        </is>
      </c>
      <c r="S43">
        <f>H41</f>
        <v/>
      </c>
      <c r="V43" t="inlineStr">
        <is>
          <t>OF=</t>
        </is>
      </c>
      <c r="W43">
        <f>IF(_xlfn.BITAND(AE41&gt;=-32768,AE41&lt;=32767),0,1)</f>
        <v/>
      </c>
    </row>
    <row r="44"/>
    <row r="45">
      <c r="F45" s="4" t="n"/>
      <c r="G45">
        <f>IF(I45+I46+I47&gt;=2,1,0)</f>
        <v/>
      </c>
      <c r="H45">
        <f>IF(J45+J46+J47&gt;=2,1,0)</f>
        <v/>
      </c>
      <c r="I45">
        <f>IF(K45+K46+K47&gt;=2,1,0)</f>
        <v/>
      </c>
      <c r="J45">
        <f>IF(M45+M46+M47&gt;=2,1,0)</f>
        <v/>
      </c>
      <c r="K45" t="inlineStr">
        <is>
          <t>.</t>
        </is>
      </c>
      <c r="L45">
        <f>IF(N45+N46+N47&gt;=2,1,0)</f>
        <v/>
      </c>
      <c r="M45">
        <f>IF(O45+O46+O47&gt;=2,1,0)</f>
        <v/>
      </c>
      <c r="N45">
        <f>IF(P45+P46+P47&gt;=2,1,0)</f>
        <v/>
      </c>
      <c r="O45">
        <f>IF(R45+R46+R47&gt;=2,1,0)</f>
        <v/>
      </c>
      <c r="P45" t="inlineStr">
        <is>
          <t>.</t>
        </is>
      </c>
      <c r="Q45">
        <f>IF(S45+S46+S47&gt;=2,1,0)</f>
        <v/>
      </c>
      <c r="R45">
        <f>IF(T45+T46+T47&gt;=2,1,0)</f>
        <v/>
      </c>
      <c r="S45">
        <f>IF(U45+U46+U47&gt;=2,1,0)</f>
        <v/>
      </c>
      <c r="T45">
        <f>IF(W45+W46+W47&gt;=2,1,0)</f>
        <v/>
      </c>
      <c r="U45" t="inlineStr">
        <is>
          <t>.</t>
        </is>
      </c>
      <c r="V45">
        <f>IF(X45+X46+X47&gt;=2,1,0)</f>
        <v/>
      </c>
      <c r="W45">
        <f>IF(Y45+Y46+Y47&gt;=2,1,0)</f>
        <v/>
      </c>
      <c r="X45">
        <f>IF(Z45+Z46+Z47&gt;=2,1,0)</f>
        <v/>
      </c>
      <c r="Y45">
        <f>IF(AB45+AB46+AB47&gt;=2,1,0)</f>
        <v/>
      </c>
    </row>
    <row r="46">
      <c r="E46" s="1" t="inlineStr">
        <is>
          <t>B8</t>
        </is>
      </c>
      <c r="G46">
        <f>H11</f>
        <v/>
      </c>
      <c r="H46">
        <f>I11</f>
        <v/>
      </c>
      <c r="I46">
        <f>J11</f>
        <v/>
      </c>
      <c r="J46">
        <f>K11</f>
        <v/>
      </c>
      <c r="K46">
        <f>L11</f>
        <v/>
      </c>
      <c r="L46">
        <f>M11</f>
        <v/>
      </c>
      <c r="M46">
        <f>N11</f>
        <v/>
      </c>
      <c r="N46">
        <f>O11</f>
        <v/>
      </c>
      <c r="O46">
        <f>P11</f>
        <v/>
      </c>
      <c r="P46">
        <f>Q11</f>
        <v/>
      </c>
      <c r="Q46">
        <f>R11</f>
        <v/>
      </c>
      <c r="R46">
        <f>S11</f>
        <v/>
      </c>
      <c r="S46">
        <f>T11</f>
        <v/>
      </c>
      <c r="T46">
        <f>U11</f>
        <v/>
      </c>
      <c r="U46">
        <f>V11</f>
        <v/>
      </c>
      <c r="V46">
        <f>W11</f>
        <v/>
      </c>
      <c r="W46">
        <f>X11</f>
        <v/>
      </c>
      <c r="X46">
        <f>Y11</f>
        <v/>
      </c>
      <c r="Y46">
        <f>Z11</f>
        <v/>
      </c>
      <c r="AC46" s="1" t="inlineStr">
        <is>
          <t>X8</t>
        </is>
      </c>
      <c r="AD46">
        <f>C11</f>
        <v/>
      </c>
    </row>
    <row r="47">
      <c r="D47" s="6" t="inlineStr">
        <is>
          <t>+</t>
        </is>
      </c>
      <c r="E47" s="7" t="inlineStr">
        <is>
          <t>B9</t>
        </is>
      </c>
      <c r="F47" s="6" t="n"/>
      <c r="G47" s="6">
        <f>H12</f>
        <v/>
      </c>
      <c r="H47" s="6">
        <f>I12</f>
        <v/>
      </c>
      <c r="I47" s="6">
        <f>J12</f>
        <v/>
      </c>
      <c r="J47" s="6">
        <f>K12</f>
        <v/>
      </c>
      <c r="K47" s="6">
        <f>L12</f>
        <v/>
      </c>
      <c r="L47" s="6">
        <f>M12</f>
        <v/>
      </c>
      <c r="M47" s="6">
        <f>N12</f>
        <v/>
      </c>
      <c r="N47" s="6">
        <f>O12</f>
        <v/>
      </c>
      <c r="O47" s="6">
        <f>P12</f>
        <v/>
      </c>
      <c r="P47" s="6">
        <f>Q12</f>
        <v/>
      </c>
      <c r="Q47" s="6">
        <f>R12</f>
        <v/>
      </c>
      <c r="R47" s="6">
        <f>S12</f>
        <v/>
      </c>
      <c r="S47" s="6">
        <f>T12</f>
        <v/>
      </c>
      <c r="T47" s="6">
        <f>U12</f>
        <v/>
      </c>
      <c r="U47" s="6">
        <f>V12</f>
        <v/>
      </c>
      <c r="V47" s="6">
        <f>W12</f>
        <v/>
      </c>
      <c r="W47" s="6">
        <f>X12</f>
        <v/>
      </c>
      <c r="X47" s="6">
        <f>Y12</f>
        <v/>
      </c>
      <c r="Y47" s="6">
        <f>Z12</f>
        <v/>
      </c>
      <c r="AB47" s="7" t="inlineStr">
        <is>
          <t>+</t>
        </is>
      </c>
      <c r="AC47" s="7" t="inlineStr">
        <is>
          <t>X9</t>
        </is>
      </c>
      <c r="AD47" s="6">
        <f>C12</f>
        <v/>
      </c>
      <c r="AF47" t="inlineStr">
        <is>
          <t>При сложении отрицательных чисел получен положительный результат ПЕРЕПОЛНЕНИЕ!</t>
        </is>
      </c>
    </row>
    <row r="48">
      <c r="G48">
        <f>IF(H45+H46+H47=2,0,IF(OR(H45+H46+H47=1,H45+H46+H47=3),1,0))</f>
        <v/>
      </c>
      <c r="H48">
        <f>IF(I45+I46+I47=2,0,IF(OR(I45+I46+I47=1,I45+I46+I47=3),1,0))</f>
        <v/>
      </c>
      <c r="I48">
        <f>IF(J45+J46+J47=2,0,IF(OR(J45+J46+J47=1,J45+J46+J47=3),1,0))</f>
        <v/>
      </c>
      <c r="J48">
        <f>IF(K45+K46+K47=2,0,IF(OR(K45+K46+K47=1,K45+K46+K47=3),1,0))</f>
        <v/>
      </c>
      <c r="K48" t="inlineStr">
        <is>
          <t>.</t>
        </is>
      </c>
      <c r="L48">
        <f>IF(M45+M46+M47=2,0,IF(OR(M45+M46+M47=1,M45+M46+M47=3),1,0))</f>
        <v/>
      </c>
      <c r="M48">
        <f>IF(N45+N46+N47=2,0,IF(OR(N45+N46+N47=1,N45+N46+N47=3),1,0))</f>
        <v/>
      </c>
      <c r="N48">
        <f>IF(O45+O46+O47=2,0,IF(OR(O45+O46+O47=1,O45+O46+O47=3),1,0))</f>
        <v/>
      </c>
      <c r="O48">
        <f>IF(P45+P46+P47=2,0,IF(OR(P45+P46+P47=1,P45+P46+P47=3),1,0))</f>
        <v/>
      </c>
      <c r="P48" t="inlineStr">
        <is>
          <t>.</t>
        </is>
      </c>
      <c r="Q48">
        <f>IF(R45+R46+R47=2,0,IF(OR(R45+R46+R47=1,R45+R46+R47=3),1,0))</f>
        <v/>
      </c>
      <c r="R48">
        <f>IF(S45+S46+S47=2,0,IF(OR(S45+S46+S47=1,S45+S46+S47=3),1,0))</f>
        <v/>
      </c>
      <c r="S48">
        <f>IF(T45+T46+T47=2,0,IF(OR(T45+T46+T47=1,T45+T46+T47=3),1,0))</f>
        <v/>
      </c>
      <c r="T48">
        <f>IF(U45+U46+U47=2,0,IF(OR(U45+U46+U47=1,U45+U46+U47=3),1,0))</f>
        <v/>
      </c>
      <c r="U48" t="inlineStr">
        <is>
          <t>.</t>
        </is>
      </c>
      <c r="V48">
        <f>IF(W45+W46+W47=2,0,IF(OR(W45+W46+W47=1,W45+W46+W47=3),1,0))</f>
        <v/>
      </c>
      <c r="W48">
        <f>IF(X45+X46+X47=2,0,IF(OR(X45+X46+X47=1,X45+X46+X47=3),1,0))</f>
        <v/>
      </c>
      <c r="X48">
        <f>IF(Y45+Y46+Y47=2,0,IF(OR(Y45+Y46+Y47=1,Y45+Y46+Y47=3),1,0))</f>
        <v/>
      </c>
      <c r="Y48">
        <f>IF(Z45+Z46+Z47=2,0,IF(OR(Z45+Z46+Z47=1,Z45+Z46+Z47=3),1,0))</f>
        <v/>
      </c>
      <c r="Z48" t="inlineStr">
        <is>
          <t>=</t>
        </is>
      </c>
      <c r="AA48">
        <f>-BIN2DEC(_xlfn.NUMBERVALUE(H48))*2^15+BIN2DEC(_xlfn.NUMBERVALUE(I48&amp;J48&amp;K48&amp;M48&amp;N48&amp;O48&amp;P48))*2^8+BIN2DEC(_xlfn.NUMBERVALUE(R48&amp;S48&amp;T48&amp;U48&amp;W48&amp;X48&amp;Y48&amp;Z48))</f>
        <v/>
      </c>
      <c r="AD48">
        <f>AE46+AE47</f>
        <v/>
      </c>
    </row>
    <row r="49"/>
    <row r="50">
      <c r="F50" s="1" t="inlineStr">
        <is>
          <t>CF=</t>
        </is>
      </c>
      <c r="G50">
        <f>IF(H45+H46+H47&gt;=2,1,0)</f>
        <v/>
      </c>
      <c r="H50" t="inlineStr">
        <is>
          <t>PF=</t>
        </is>
      </c>
      <c r="J50">
        <f>IF(MOD(SUM(R48:U48,W48:Z48),2)=0,1,0)</f>
        <v/>
      </c>
      <c r="L50" t="inlineStr">
        <is>
          <t>AF=</t>
        </is>
      </c>
      <c r="N50">
        <f>U45</f>
        <v/>
      </c>
      <c r="O50" t="inlineStr">
        <is>
          <t>ZF=</t>
        </is>
      </c>
      <c r="Q50">
        <f>IF(SUM(H48:K48,M48:P48,R48:U48,W48:Z48)=0,1,0)</f>
        <v/>
      </c>
      <c r="R50" t="inlineStr">
        <is>
          <t>SF=</t>
        </is>
      </c>
      <c r="S50">
        <f>H48</f>
        <v/>
      </c>
      <c r="V50" t="inlineStr">
        <is>
          <t>OF=</t>
        </is>
      </c>
      <c r="W50">
        <f>IF(_xlfn.BITAND(AE48&gt;=-32768,AE48&lt;=32767),0,1)</f>
        <v/>
      </c>
    </row>
    <row r="51"/>
    <row r="52">
      <c r="F52" s="4" t="n"/>
      <c r="G52">
        <f>IF(I52+I53+I54&gt;=2,1,0)</f>
        <v/>
      </c>
      <c r="H52">
        <f>IF(J52+J53+J54&gt;=2,1,0)</f>
        <v/>
      </c>
      <c r="I52">
        <f>IF(K52+K53+K54&gt;=2,1,0)</f>
        <v/>
      </c>
      <c r="J52">
        <f>IF(M52+M53+M54&gt;=2,1,0)</f>
        <v/>
      </c>
      <c r="K52" t="inlineStr">
        <is>
          <t>.</t>
        </is>
      </c>
      <c r="L52">
        <f>IF(N52+N53+N54&gt;=2,1,0)</f>
        <v/>
      </c>
      <c r="M52">
        <f>IF(O52+O53+O54&gt;=2,1,0)</f>
        <v/>
      </c>
      <c r="N52">
        <f>IF(P52+P53+P54&gt;=2,1,0)</f>
        <v/>
      </c>
      <c r="O52">
        <f>IF(R52+R53+R54&gt;=2,1,0)</f>
        <v/>
      </c>
      <c r="P52" t="inlineStr">
        <is>
          <t>.</t>
        </is>
      </c>
      <c r="Q52">
        <f>IF(S52+S53+S54&gt;=2,1,0)</f>
        <v/>
      </c>
      <c r="R52">
        <f>IF(T52+T53+T54&gt;=2,1,0)</f>
        <v/>
      </c>
      <c r="S52">
        <f>IF(U52+U53+U54&gt;=2,1,0)</f>
        <v/>
      </c>
      <c r="T52">
        <f>IF(W52+W53+W54&gt;=2,1,0)</f>
        <v/>
      </c>
      <c r="U52" t="inlineStr">
        <is>
          <t>.</t>
        </is>
      </c>
      <c r="V52">
        <f>IF(X52+X53+X54&gt;=2,1,0)</f>
        <v/>
      </c>
      <c r="W52">
        <f>IF(Y52+Y53+Y54&gt;=2,1,0)</f>
        <v/>
      </c>
      <c r="X52">
        <f>IF(Z52+Z53+Z54&gt;=2,1,0)</f>
        <v/>
      </c>
      <c r="Y52">
        <f>IF(AB52+AB53+AB54&gt;=2,1,0)</f>
        <v/>
      </c>
    </row>
    <row r="53">
      <c r="E53" s="1" t="inlineStr">
        <is>
          <t>B1</t>
        </is>
      </c>
      <c r="G53">
        <f>H4</f>
        <v/>
      </c>
      <c r="H53">
        <f>I4</f>
        <v/>
      </c>
      <c r="I53">
        <f>J4</f>
        <v/>
      </c>
      <c r="J53">
        <f>K4</f>
        <v/>
      </c>
      <c r="K53">
        <f>L4</f>
        <v/>
      </c>
      <c r="L53">
        <f>M4</f>
        <v/>
      </c>
      <c r="M53">
        <f>N4</f>
        <v/>
      </c>
      <c r="N53">
        <f>O4</f>
        <v/>
      </c>
      <c r="O53">
        <f>P4</f>
        <v/>
      </c>
      <c r="P53">
        <f>Q4</f>
        <v/>
      </c>
      <c r="Q53">
        <f>R4</f>
        <v/>
      </c>
      <c r="R53">
        <f>S4</f>
        <v/>
      </c>
      <c r="S53">
        <f>T4</f>
        <v/>
      </c>
      <c r="T53">
        <f>U4</f>
        <v/>
      </c>
      <c r="U53">
        <f>V4</f>
        <v/>
      </c>
      <c r="V53">
        <f>W4</f>
        <v/>
      </c>
      <c r="W53">
        <f>X4</f>
        <v/>
      </c>
      <c r="X53">
        <f>Y4</f>
        <v/>
      </c>
      <c r="Y53">
        <f>Z4</f>
        <v/>
      </c>
      <c r="AC53" s="1" t="inlineStr">
        <is>
          <t>X12</t>
        </is>
      </c>
      <c r="AD53">
        <f>C4</f>
        <v/>
      </c>
    </row>
    <row r="54">
      <c r="D54" s="6" t="inlineStr">
        <is>
          <t>+</t>
        </is>
      </c>
      <c r="E54" s="7" t="inlineStr">
        <is>
          <t>B8</t>
        </is>
      </c>
      <c r="F54" s="6" t="n"/>
      <c r="G54" s="6">
        <f>H11</f>
        <v/>
      </c>
      <c r="H54" s="6">
        <f>I11</f>
        <v/>
      </c>
      <c r="I54" s="6">
        <f>J11</f>
        <v/>
      </c>
      <c r="J54" s="6">
        <f>K11</f>
        <v/>
      </c>
      <c r="K54" s="6">
        <f>L11</f>
        <v/>
      </c>
      <c r="L54" s="6">
        <f>M11</f>
        <v/>
      </c>
      <c r="M54" s="6">
        <f>N11</f>
        <v/>
      </c>
      <c r="N54" s="6">
        <f>O11</f>
        <v/>
      </c>
      <c r="O54" s="6">
        <f>P11</f>
        <v/>
      </c>
      <c r="P54" s="6">
        <f>Q11</f>
        <v/>
      </c>
      <c r="Q54" s="6">
        <f>R11</f>
        <v/>
      </c>
      <c r="R54" s="6">
        <f>S11</f>
        <v/>
      </c>
      <c r="S54" s="6">
        <f>T11</f>
        <v/>
      </c>
      <c r="T54" s="6">
        <f>U11</f>
        <v/>
      </c>
      <c r="U54" s="6">
        <f>V11</f>
        <v/>
      </c>
      <c r="V54" s="6">
        <f>W11</f>
        <v/>
      </c>
      <c r="W54" s="6">
        <f>X11</f>
        <v/>
      </c>
      <c r="X54" s="6">
        <f>Y11</f>
        <v/>
      </c>
      <c r="Y54" s="6">
        <f>Z11</f>
        <v/>
      </c>
      <c r="AB54" s="7" t="inlineStr">
        <is>
          <t>+</t>
        </is>
      </c>
      <c r="AC54" s="7" t="inlineStr">
        <is>
          <t>X8</t>
        </is>
      </c>
      <c r="AD54" s="6">
        <f>C11</f>
        <v/>
      </c>
      <c r="AF54" t="inlineStr">
        <is>
          <t>Результат корректный</t>
        </is>
      </c>
    </row>
    <row r="55">
      <c r="G55">
        <f>IF(H52+H53+H54=2,0,IF(OR(H52+H53+H54=1,H52+H53+H54=3),1,0))</f>
        <v/>
      </c>
      <c r="H55">
        <f>IF(I52+I53+I54=2,0,IF(OR(I52+I53+I54=1,I52+I53+I54=3),1,0))</f>
        <v/>
      </c>
      <c r="I55">
        <f>IF(J52+J53+J54=2,0,IF(OR(J52+J53+J54=1,J52+J53+J54=3),1,0))</f>
        <v/>
      </c>
      <c r="J55">
        <f>IF(K52+K53+K54=2,0,IF(OR(K52+K53+K54=1,K52+K53+K54=3),1,0))</f>
        <v/>
      </c>
      <c r="K55" t="inlineStr">
        <is>
          <t>.</t>
        </is>
      </c>
      <c r="L55">
        <f>IF(M52+M53+M54=2,0,IF(OR(M52+M53+M54=1,M52+M53+M54=3),1,0))</f>
        <v/>
      </c>
      <c r="M55">
        <f>IF(N52+N53+N54=2,0,IF(OR(N52+N53+N54=1,N52+N53+N54=3),1,0))</f>
        <v/>
      </c>
      <c r="N55">
        <f>IF(O52+O53+O54=2,0,IF(OR(O52+O53+O54=1,O52+O53+O54=3),1,0))</f>
        <v/>
      </c>
      <c r="O55">
        <f>IF(P52+P53+P54=2,0,IF(OR(P52+P53+P54=1,P52+P53+P54=3),1,0))</f>
        <v/>
      </c>
      <c r="P55" t="inlineStr">
        <is>
          <t>.</t>
        </is>
      </c>
      <c r="Q55">
        <f>IF(R52+R53+R54=2,0,IF(OR(R52+R53+R54=1,R52+R53+R54=3),1,0))</f>
        <v/>
      </c>
      <c r="R55">
        <f>IF(S52+S53+S54=2,0,IF(OR(S52+S53+S54=1,S52+S53+S54=3),1,0))</f>
        <v/>
      </c>
      <c r="S55">
        <f>IF(T52+T53+T54=2,0,IF(OR(T52+T53+T54=1,T52+T53+T54=3),1,0))</f>
        <v/>
      </c>
      <c r="T55">
        <f>IF(U52+U53+U54=2,0,IF(OR(U52+U53+U54=1,U52+U53+U54=3),1,0))</f>
        <v/>
      </c>
      <c r="U55" t="inlineStr">
        <is>
          <t>.</t>
        </is>
      </c>
      <c r="V55">
        <f>IF(W52+W53+W54=2,0,IF(OR(W52+W53+W54=1,W52+W53+W54=3),1,0))</f>
        <v/>
      </c>
      <c r="W55">
        <f>IF(X52+X53+X54=2,0,IF(OR(X52+X53+X54=1,X52+X53+X54=3),1,0))</f>
        <v/>
      </c>
      <c r="X55">
        <f>IF(Y52+Y53+Y54=2,0,IF(OR(Y52+Y53+Y54=1,Y52+Y53+Y54=3),1,0))</f>
        <v/>
      </c>
      <c r="Y55">
        <f>IF(Z52+Z53+Z54=2,0,IF(OR(Z52+Z53+Z54=1,Z52+Z53+Z54=3),1,0))</f>
        <v/>
      </c>
      <c r="Z55" t="inlineStr">
        <is>
          <t>=</t>
        </is>
      </c>
      <c r="AA55">
        <f>-BIN2DEC(_xlfn.NUMBERVALUE(H55))*2^15+BIN2DEC(_xlfn.NUMBERVALUE(I55&amp;J55&amp;K55&amp;M55&amp;N55&amp;O55&amp;P55))*2^8+BIN2DEC(_xlfn.NUMBERVALUE(R55&amp;S55&amp;T55&amp;U55&amp;W55&amp;X55&amp;Y55&amp;Z55))</f>
        <v/>
      </c>
      <c r="AD55">
        <f>AE53+AE54</f>
        <v/>
      </c>
    </row>
    <row r="56"/>
    <row r="57">
      <c r="F57" s="1" t="inlineStr">
        <is>
          <t>CF=</t>
        </is>
      </c>
      <c r="G57">
        <f>IF(H52+H53+H54&gt;=2,1,0)</f>
        <v/>
      </c>
      <c r="H57" t="inlineStr">
        <is>
          <t>PF=</t>
        </is>
      </c>
      <c r="J57">
        <f>IF(MOD(SUM(R55:U55,W55:Z55),2)=0,1,0)</f>
        <v/>
      </c>
      <c r="L57" t="inlineStr">
        <is>
          <t>AF=</t>
        </is>
      </c>
      <c r="N57">
        <f>U52</f>
        <v/>
      </c>
      <c r="O57" t="inlineStr">
        <is>
          <t>ZF=</t>
        </is>
      </c>
      <c r="Q57">
        <f>IF(SUM(H55:K55,M55:P55,R55:U55,W55:Z55)=0,1,0)</f>
        <v/>
      </c>
      <c r="R57" t="inlineStr">
        <is>
          <t>SF=</t>
        </is>
      </c>
      <c r="S57">
        <f>H55</f>
        <v/>
      </c>
      <c r="V57" t="inlineStr">
        <is>
          <t>OF=</t>
        </is>
      </c>
      <c r="W57">
        <f>IF(_xlfn.BITAND(AE55&gt;=-32768,AE55&lt;=32767),0,1)</f>
        <v/>
      </c>
    </row>
    <row r="58"/>
    <row r="59">
      <c r="F59" s="4" t="n"/>
      <c r="G59">
        <f>IF(I59+I60+I61&gt;=2,1,0)</f>
        <v/>
      </c>
      <c r="H59">
        <f>IF(J59+J60+J61&gt;=2,1,0)</f>
        <v/>
      </c>
      <c r="I59">
        <f>IF(K59+K60+K61&gt;=2,1,0)</f>
        <v/>
      </c>
      <c r="J59">
        <f>IF(M59+M60+M61&gt;=2,1,0)</f>
        <v/>
      </c>
      <c r="K59" t="inlineStr">
        <is>
          <t>.</t>
        </is>
      </c>
      <c r="L59">
        <f>IF(N59+N60+N61&gt;=2,1,0)</f>
        <v/>
      </c>
      <c r="M59">
        <f>IF(O59+O60+O61&gt;=2,1,0)</f>
        <v/>
      </c>
      <c r="N59">
        <f>IF(P59+P60+P61&gt;=2,1,0)</f>
        <v/>
      </c>
      <c r="O59">
        <f>IF(R59+R60+R61&gt;=2,1,0)</f>
        <v/>
      </c>
      <c r="P59" t="inlineStr">
        <is>
          <t>.</t>
        </is>
      </c>
      <c r="Q59">
        <f>IF(S59+S60+S61&gt;=2,1,0)</f>
        <v/>
      </c>
      <c r="R59">
        <f>IF(T59+T60+T61&gt;=2,1,0)</f>
        <v/>
      </c>
      <c r="S59">
        <f>IF(U59+U60+U61&gt;=2,1,0)</f>
        <v/>
      </c>
      <c r="T59">
        <f>IF(W59+W60+W61&gt;=2,1,0)</f>
        <v/>
      </c>
      <c r="U59" t="inlineStr">
        <is>
          <t>.</t>
        </is>
      </c>
      <c r="V59">
        <f>IF(X59+X60+X61&gt;=2,1,0)</f>
        <v/>
      </c>
      <c r="W59">
        <f>IF(Y59+Y60+Y61&gt;=2,1,0)</f>
        <v/>
      </c>
      <c r="X59">
        <f>IF(Z59+Z60+Z61&gt;=2,1,0)</f>
        <v/>
      </c>
      <c r="Y59">
        <f>IF(AB59+AB60+AB61&gt;=2,1,0)</f>
        <v/>
      </c>
    </row>
    <row r="60">
      <c r="E60" s="1" t="inlineStr">
        <is>
          <t>B11</t>
        </is>
      </c>
      <c r="G60">
        <f>H14</f>
        <v/>
      </c>
      <c r="H60">
        <f>I14</f>
        <v/>
      </c>
      <c r="I60">
        <f>J14</f>
        <v/>
      </c>
      <c r="J60">
        <f>K14</f>
        <v/>
      </c>
      <c r="K60">
        <f>L14</f>
        <v/>
      </c>
      <c r="L60">
        <f>M14</f>
        <v/>
      </c>
      <c r="M60">
        <f>N14</f>
        <v/>
      </c>
      <c r="N60">
        <f>O14</f>
        <v/>
      </c>
      <c r="O60">
        <f>P14</f>
        <v/>
      </c>
      <c r="P60">
        <f>Q14</f>
        <v/>
      </c>
      <c r="Q60">
        <f>R14</f>
        <v/>
      </c>
      <c r="R60">
        <f>S14</f>
        <v/>
      </c>
      <c r="S60">
        <f>T14</f>
        <v/>
      </c>
      <c r="T60">
        <f>U14</f>
        <v/>
      </c>
      <c r="U60">
        <f>V14</f>
        <v/>
      </c>
      <c r="V60">
        <f>W14</f>
        <v/>
      </c>
      <c r="W60">
        <f>X14</f>
        <v/>
      </c>
      <c r="X60">
        <f>Y14</f>
        <v/>
      </c>
      <c r="Y60">
        <f>Z14</f>
        <v/>
      </c>
      <c r="AC60" s="1" t="inlineStr">
        <is>
          <t>X11</t>
        </is>
      </c>
      <c r="AD60">
        <f>C14</f>
        <v/>
      </c>
    </row>
    <row r="61">
      <c r="D61" s="6" t="inlineStr">
        <is>
          <t>+</t>
        </is>
      </c>
      <c r="E61" s="7" t="inlineStr">
        <is>
          <t>B3</t>
        </is>
      </c>
      <c r="F61" s="6" t="n"/>
      <c r="G61" s="6">
        <f>H6</f>
        <v/>
      </c>
      <c r="H61" s="6">
        <f>I6</f>
        <v/>
      </c>
      <c r="I61" s="6">
        <f>J6</f>
        <v/>
      </c>
      <c r="J61" s="6">
        <f>K6</f>
        <v/>
      </c>
      <c r="K61" s="6">
        <f>L6</f>
        <v/>
      </c>
      <c r="L61" s="6">
        <f>M6</f>
        <v/>
      </c>
      <c r="M61" s="6">
        <f>N6</f>
        <v/>
      </c>
      <c r="N61" s="6">
        <f>O6</f>
        <v/>
      </c>
      <c r="O61" s="6">
        <f>P6</f>
        <v/>
      </c>
      <c r="P61" s="6">
        <f>Q6</f>
        <v/>
      </c>
      <c r="Q61" s="6">
        <f>R6</f>
        <v/>
      </c>
      <c r="R61" s="6">
        <f>S6</f>
        <v/>
      </c>
      <c r="S61" s="6">
        <f>T6</f>
        <v/>
      </c>
      <c r="T61" s="6">
        <f>U6</f>
        <v/>
      </c>
      <c r="U61" s="6">
        <f>V6</f>
        <v/>
      </c>
      <c r="V61" s="6">
        <f>W6</f>
        <v/>
      </c>
      <c r="W61" s="6">
        <f>X6</f>
        <v/>
      </c>
      <c r="X61" s="6">
        <f>Y6</f>
        <v/>
      </c>
      <c r="Y61" s="6">
        <f>Z6</f>
        <v/>
      </c>
      <c r="AB61" s="7" t="inlineStr">
        <is>
          <t>+</t>
        </is>
      </c>
      <c r="AC61" s="7" t="inlineStr">
        <is>
          <t>X3</t>
        </is>
      </c>
      <c r="AD61" s="6">
        <f>C6</f>
        <v/>
      </c>
      <c r="AF61" t="inlineStr">
        <is>
          <t>Результат корректный. Перенос из старшего разряда не учитывается</t>
        </is>
      </c>
    </row>
    <row r="62">
      <c r="G62">
        <f>IF(H59+H60+H61=2,0,IF(OR(H59+H60+H61=1,H59+H60+H61=3),1,0))</f>
        <v/>
      </c>
      <c r="H62">
        <f>IF(I59+I60+I61=2,0,IF(OR(I59+I60+I61=1,I59+I60+I61=3),1,0))</f>
        <v/>
      </c>
      <c r="I62">
        <f>IF(J59+J60+J61=2,0,IF(OR(J59+J60+J61=1,J59+J60+J61=3),1,0))</f>
        <v/>
      </c>
      <c r="J62">
        <f>IF(K59+K60+K61=2,0,IF(OR(K59+K60+K61=1,K59+K60+K61=3),1,0))</f>
        <v/>
      </c>
      <c r="K62" t="inlineStr">
        <is>
          <t>.</t>
        </is>
      </c>
      <c r="L62">
        <f>IF(M59+M60+M61=2,0,IF(OR(M59+M60+M61=1,M59+M60+M61=3),1,0))</f>
        <v/>
      </c>
      <c r="M62">
        <f>IF(N59+N60+N61=2,0,IF(OR(N59+N60+N61=1,N59+N60+N61=3),1,0))</f>
        <v/>
      </c>
      <c r="N62">
        <f>IF(O59+O60+O61=2,0,IF(OR(O59+O60+O61=1,O59+O60+O61=3),1,0))</f>
        <v/>
      </c>
      <c r="O62">
        <f>IF(P59+P60+P61=2,0,IF(OR(P59+P60+P61=1,P59+P60+P61=3),1,0))</f>
        <v/>
      </c>
      <c r="P62" t="inlineStr">
        <is>
          <t>.</t>
        </is>
      </c>
      <c r="Q62">
        <f>IF(R59+R60+R61=2,0,IF(OR(R59+R60+R61=1,R59+R60+R61=3),1,0))</f>
        <v/>
      </c>
      <c r="R62">
        <f>IF(S59+S60+S61=2,0,IF(OR(S59+S60+S61=1,S59+S60+S61=3),1,0))</f>
        <v/>
      </c>
      <c r="S62">
        <f>IF(T59+T60+T61=2,0,IF(OR(T59+T60+T61=1,T59+T60+T61=3),1,0))</f>
        <v/>
      </c>
      <c r="T62">
        <f>IF(U59+U60+U61=2,0,IF(OR(U59+U60+U61=1,U59+U60+U61=3),1,0))</f>
        <v/>
      </c>
      <c r="U62" t="inlineStr">
        <is>
          <t>.</t>
        </is>
      </c>
      <c r="V62">
        <f>IF(W59+W60+W61=2,0,IF(OR(W59+W60+W61=1,W59+W60+W61=3),1,0))</f>
        <v/>
      </c>
      <c r="W62">
        <f>IF(X59+X60+X61=2,0,IF(OR(X59+X60+X61=1,X59+X60+X61=3),1,0))</f>
        <v/>
      </c>
      <c r="X62">
        <f>IF(Y59+Y60+Y61=2,0,IF(OR(Y59+Y60+Y61=1,Y59+Y60+Y61=3),1,0))</f>
        <v/>
      </c>
      <c r="Y62">
        <f>IF(Z59+Z60+Z61=2,0,IF(OR(Z59+Z60+Z61=1,Z59+Z60+Z61=3),1,0))</f>
        <v/>
      </c>
      <c r="Z62" t="inlineStr">
        <is>
          <t>=</t>
        </is>
      </c>
      <c r="AA62">
        <f>-BIN2DEC(_xlfn.NUMBERVALUE(H62))*2^15+BIN2DEC(_xlfn.NUMBERVALUE(I62&amp;J62&amp;K62&amp;M62&amp;N62&amp;O62&amp;P62))*2^8+BIN2DEC(_xlfn.NUMBERVALUE(R62&amp;S62&amp;T62&amp;U62&amp;W62&amp;X62&amp;Y62&amp;Z62))</f>
        <v/>
      </c>
      <c r="AD62">
        <f>AE60+AE61</f>
        <v/>
      </c>
    </row>
    <row r="63"/>
    <row r="64">
      <c r="F64" s="1" t="inlineStr">
        <is>
          <t>CF=</t>
        </is>
      </c>
      <c r="G64">
        <f>IF(H59+H60+H61&gt;=2,1,0)</f>
        <v/>
      </c>
      <c r="H64" t="inlineStr">
        <is>
          <t>PF=</t>
        </is>
      </c>
      <c r="J64">
        <f>IF(MOD(SUM(R62:U62,W62:Z62),2)=0,1,0)</f>
        <v/>
      </c>
      <c r="L64" t="inlineStr">
        <is>
          <t>AF=</t>
        </is>
      </c>
      <c r="N64">
        <f>U59</f>
        <v/>
      </c>
      <c r="O64" t="inlineStr">
        <is>
          <t>ZF=</t>
        </is>
      </c>
      <c r="Q64">
        <f>IF(SUM(H62:K62,M62:P62,R62:U62,W62:Z62)=0,1,0)</f>
        <v/>
      </c>
      <c r="R64" t="inlineStr">
        <is>
          <t>SF=</t>
        </is>
      </c>
      <c r="S64">
        <f>H62</f>
        <v/>
      </c>
      <c r="V64" t="inlineStr">
        <is>
          <t>OF=</t>
        </is>
      </c>
      <c r="W64">
        <f>IF(_xlfn.BITAND(AE62&gt;=-32768,AE62&lt;=32767),0,1)</f>
        <v/>
      </c>
    </row>
  </sheetData>
  <mergeCells count="1">
    <mergeCell ref="AG18:AG21"/>
  </mergeCells>
  <pageMargins left="0.7" right="0.7" top="0.75" bottom="0.75" header="0.3" footer="0.3"/>
  <pageSetup orientation="portrait" scale="36" fitToHeight="0" fitToWidth="0"/>
  <headerFooter>
    <oddHeader>&amp;LЦэрэндорж Ариунбат&amp;CВариант 26&amp;RLab5</oddHeader>
    <oddFooter>&amp;R15:01/20.11.2025_x000a__x000a__x000a__x000a_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Ariunbat Tserendorj</dc:creator>
  <dcterms:created xsi:type="dcterms:W3CDTF">2025-11-19T12:27:40Z</dcterms:created>
  <dcterms:modified xsi:type="dcterms:W3CDTF">2025-11-24T08:45:27Z</dcterms:modified>
  <cp:lastModifiedBy>Ariunbat Tserendorj</cp:lastModifiedBy>
</cp:coreProperties>
</file>